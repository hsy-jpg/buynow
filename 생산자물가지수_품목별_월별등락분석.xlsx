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원자료(월별지수)" sheetId="2" state="visible" r:id="rId4"/>
    <sheet name="월별증감률(전월비)" sheetId="3" state="visible" r:id="rId5"/>
    <sheet name="계절평균(월별등락률)" sheetId="4" state="visible" r:id="rId6"/>
    <sheet name="차트(카테고리별 계절패턴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<sst xmlns="http://schemas.openxmlformats.org/spreadsheetml/2006/main" count="604" uniqueCount="175">
  <si>
    <t xml:space="preserve">생산자물가지수 품목별 월별 등락 분석 보고서</t>
  </si>
  <si>
    <r>
      <rPr>
        <sz val="11"/>
        <color rgb="FF000000"/>
        <rFont val="Noto Sans CJK SC"/>
        <family val="2"/>
      </rPr>
      <t xml:space="preserve">분석 대상 기간</t>
    </r>
    <r>
      <rPr>
        <sz val="11"/>
        <color rgb="FF000000"/>
        <rFont val="Arial"/>
        <family val="0"/>
        <charset val="1"/>
      </rPr>
      <t xml:space="preserve">: 2021</t>
    </r>
    <r>
      <rPr>
        <sz val="11"/>
        <color rgb="FF000000"/>
        <rFont val="Noto Sans CJK SC"/>
        <family val="2"/>
      </rPr>
      <t xml:space="preserve">년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월 </t>
    </r>
    <r>
      <rPr>
        <sz val="11"/>
        <color rgb="FF000000"/>
        <rFont val="Arial"/>
        <family val="0"/>
        <charset val="1"/>
      </rPr>
      <t xml:space="preserve">~ 2026</t>
    </r>
    <r>
      <rPr>
        <sz val="11"/>
        <color rgb="FF000000"/>
        <rFont val="Noto Sans CJK SC"/>
        <family val="2"/>
      </rPr>
      <t xml:space="preserve">년 </t>
    </r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월 </t>
    </r>
    <r>
      <rPr>
        <sz val="11"/>
        <color rgb="FF000000"/>
        <rFont val="Arial"/>
        <family val="0"/>
        <charset val="1"/>
      </rPr>
      <t xml:space="preserve">(65</t>
    </r>
    <r>
      <rPr>
        <sz val="11"/>
        <color rgb="FF000000"/>
        <rFont val="Noto Sans CJK SC"/>
        <family val="2"/>
      </rPr>
      <t xml:space="preserve">개월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</si>
  <si>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분석 대상 품목</t>
    </r>
    <r>
      <rPr>
        <sz val="11"/>
        <color rgb="FF000000"/>
        <rFont val="Arial"/>
        <family val="0"/>
        <charset val="1"/>
      </rPr>
      <t xml:space="preserve">: 62</t>
    </r>
    <r>
      <rPr>
        <sz val="11"/>
        <color rgb="FF000000"/>
        <rFont val="Noto Sans CJK SC"/>
        <family val="2"/>
      </rPr>
      <t xml:space="preserve">개 품목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농산물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축산물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임산물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수산물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</si>
  <si>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2"/>
        <color rgb="FF1F4E78"/>
        <rFont val="Arial"/>
        <family val="0"/>
        <charset val="1"/>
      </rPr>
      <t xml:space="preserve">[</t>
    </r>
    <r>
      <rPr>
        <b val="true"/>
        <sz val="12"/>
        <color rgb="FF1F4E78"/>
        <rFont val="Noto Sans CJK SC"/>
        <family val="2"/>
      </rPr>
      <t xml:space="preserve">시트 구성</t>
    </r>
    <r>
      <rPr>
        <b val="true"/>
        <sz val="12"/>
        <color rgb="FF1F4E78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</si>
  <si>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원자료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월별지수</t>
    </r>
    <r>
      <rPr>
        <sz val="10"/>
        <color rgb="FF000000"/>
        <rFont val="Arial"/>
        <family val="0"/>
        <charset val="1"/>
      </rPr>
      <t xml:space="preserve">) : </t>
    </r>
    <r>
      <rPr>
        <sz val="10"/>
        <color rgb="FF000000"/>
        <rFont val="Noto Sans CJK SC"/>
        <family val="2"/>
      </rPr>
      <t xml:space="preserve">품목별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개월 생산자물가지수 원자료 </t>
    </r>
    <r>
      <rPr>
        <sz val="10"/>
        <color rgb="FF000000"/>
        <rFont val="Arial"/>
        <family val="0"/>
        <charset val="1"/>
      </rPr>
      <t xml:space="preserve">(2020=100 </t>
    </r>
    <r>
      <rPr>
        <sz val="10"/>
        <color rgb="FF000000"/>
        <rFont val="Noto Sans CJK SC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</si>
  <si>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월별증감률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전월비</t>
    </r>
    <r>
      <rPr>
        <sz val="10"/>
        <color rgb="FF000000"/>
        <rFont val="Arial"/>
        <family val="0"/>
        <charset val="1"/>
      </rPr>
      <t xml:space="preserve">) : </t>
    </r>
    <r>
      <rPr>
        <sz val="10"/>
        <color rgb="FF000000"/>
        <rFont val="Noto Sans CJK SC"/>
        <family val="2"/>
      </rPr>
      <t xml:space="preserve">전월 대비 등락률</t>
    </r>
    <r>
      <rPr>
        <sz val="10"/>
        <color rgb="FF000000"/>
        <rFont val="Arial"/>
        <family val="0"/>
        <charset val="1"/>
      </rPr>
      <t xml:space="preserve">(%) = </t>
    </r>
    <r>
      <rPr>
        <sz val="10"/>
        <color rgb="FF000000"/>
        <rFont val="Noto Sans CJK SC"/>
        <family val="2"/>
      </rPr>
      <t xml:space="preserve">이번달지수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전달지수</t>
    </r>
    <r>
      <rPr>
        <sz val="10"/>
        <color rgb="FF000000"/>
        <rFont val="Arial"/>
        <family val="0"/>
        <charset val="1"/>
      </rPr>
      <t xml:space="preserve">-1  (</t>
    </r>
    <r>
      <rPr>
        <sz val="10"/>
        <color rgb="FF000000"/>
        <rFont val="Noto Sans CJK SC"/>
        <family val="2"/>
      </rPr>
      <t xml:space="preserve">수식으로 산출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</si>
  <si>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계절평균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월별등락률</t>
    </r>
    <r>
      <rPr>
        <sz val="10"/>
        <color rgb="FF000000"/>
        <rFont val="Arial"/>
        <family val="0"/>
        <charset val="1"/>
      </rPr>
      <t xml:space="preserve">) : 2021~2026</t>
    </r>
    <r>
      <rPr>
        <sz val="10"/>
        <color rgb="FF000000"/>
        <rFont val="Noto Sans CJK SC"/>
        <family val="2"/>
      </rPr>
      <t xml:space="preserve">년 동일 월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모든 해의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의 전월비 등락률을 평균낸 값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</si>
  <si>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     -&gt; </t>
    </r>
    <r>
      <rPr>
        <sz val="10"/>
        <color rgb="FF000000"/>
        <rFont val="Noto Sans CJK SC"/>
        <family val="2"/>
      </rPr>
      <t xml:space="preserve">특정 품목이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어느 달에 통상적으로 오르고 내리는지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를 보여주는 계절 패턴표</t>
    </r>
  </si>
  <si>
    <r>
      <rPr>
        <sz val="10"/>
        <color rgb="FF000000"/>
        <rFont val="Arial"/>
        <family val="0"/>
        <charset val="1"/>
      </rPr>
      <t xml:space="preserve">     -&gt; </t>
    </r>
    <r>
      <rPr>
        <sz val="10"/>
        <color rgb="FF000000"/>
        <rFont val="Noto Sans CJK SC"/>
        <family val="2"/>
      </rPr>
      <t xml:space="preserve">가장많이오르는달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가장많이내리는달 컬럼에서 품목별 성수기 상승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하락 시점을 바로 확인 가능</t>
    </r>
  </si>
  <si>
    <r>
      <rPr>
        <sz val="10"/>
        <color rgb="FF000000"/>
        <rFont val="Arial"/>
        <family val="0"/>
        <charset val="1"/>
      </rPr>
      <t xml:space="preserve">     -&gt; </t>
    </r>
    <r>
      <rPr>
        <sz val="10"/>
        <color rgb="FF000000"/>
        <rFont val="Noto Sans CJK SC"/>
        <family val="2"/>
      </rPr>
      <t xml:space="preserve">표 안의 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상승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파랑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하락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조건부 서식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색조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표시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</si>
  <si>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차트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카테고리별 계절패턴</t>
    </r>
    <r>
      <rPr>
        <sz val="10"/>
        <color rgb="FF000000"/>
        <rFont val="Arial"/>
        <family val="0"/>
        <charset val="1"/>
      </rPr>
      <t xml:space="preserve">) : 9</t>
    </r>
    <r>
      <rPr>
        <sz val="10"/>
        <color rgb="FF000000"/>
        <rFont val="Noto Sans CJK SC"/>
        <family val="2"/>
      </rPr>
      <t xml:space="preserve">개 카테고리별로 월별 평균 등락률을 선그래프로 시각화</t>
    </r>
  </si>
  <si>
    <r>
      <rPr>
        <b val="true"/>
        <sz val="12"/>
        <color rgb="FF1F4E78"/>
        <rFont val="Arial"/>
        <family val="0"/>
        <charset val="1"/>
      </rPr>
      <t xml:space="preserve">[</t>
    </r>
    <r>
      <rPr>
        <b val="true"/>
        <sz val="12"/>
        <color rgb="FF1F4E78"/>
        <rFont val="Noto Sans CJK SC"/>
        <family val="2"/>
      </rPr>
      <t xml:space="preserve">카테고리 구성</t>
    </r>
    <r>
      <rPr>
        <b val="true"/>
        <sz val="12"/>
        <color rgb="FF1F4E78"/>
        <rFont val="Arial"/>
        <family val="0"/>
        <charset val="1"/>
      </rPr>
      <t xml:space="preserve">]</t>
    </r>
  </si>
  <si>
    <r>
      <rPr>
        <sz val="10"/>
        <color rgb="FF000000"/>
        <rFont val="Noto Sans CJK SC"/>
        <family val="2"/>
      </rPr>
      <t xml:space="preserve">곡물류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쌀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보리쌀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콩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서류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감자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고구마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채소류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엽경채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채소류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과실류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축산물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임산물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수산물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생물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수산물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가공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</si>
  <si>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2"/>
        <color rgb="FF1F4E78"/>
        <rFont val="Arial"/>
        <family val="0"/>
        <charset val="1"/>
      </rPr>
      <t xml:space="preserve">[</t>
    </r>
    <r>
      <rPr>
        <b val="true"/>
        <sz val="12"/>
        <color rgb="FF1F4E78"/>
        <rFont val="Noto Sans CJK SC"/>
        <family val="2"/>
      </rPr>
      <t xml:space="preserve">해석 유의사항</t>
    </r>
    <r>
      <rPr>
        <b val="true"/>
        <sz val="12"/>
        <color rgb="FF1F4E78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</si>
  <si>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등락률은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전월 대비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여러 해의 같은 달을 평균한 값이므로 특정 연도의 이상 기후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수급 이슈로 인한 급등락이 평균에 일부 희석될 수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</si>
  <si>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배추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시금치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무 등 노지채소는 계절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기상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따른 등락폭이 매우 크고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감자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고구마 등은 수확기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직후 하락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단경기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봄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Noto Sans CJK SC"/>
        <family val="2"/>
      </rPr>
      <t xml:space="preserve">여름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직전 상승하는 경향이 뚜렷합니다</t>
    </r>
    <r>
      <rPr>
        <sz val="10"/>
        <color rgb="FF000000"/>
        <rFont val="Arial"/>
        <family val="0"/>
        <charset val="1"/>
      </rPr>
      <t xml:space="preserve">.</t>
    </r>
  </si>
  <si>
    <t xml:space="preserve">카테고리</t>
  </si>
  <si>
    <t xml:space="preserve">품목</t>
  </si>
  <si>
    <t xml:space="preserve">단위</t>
  </si>
  <si>
    <t xml:space="preserve">가중치</t>
  </si>
  <si>
    <t xml:space="preserve">2021/01</t>
  </si>
  <si>
    <t xml:space="preserve">2021/02</t>
  </si>
  <si>
    <t xml:space="preserve">2021/03</t>
  </si>
  <si>
    <t xml:space="preserve">2021/04</t>
  </si>
  <si>
    <t xml:space="preserve">2021/05</t>
  </si>
  <si>
    <t xml:space="preserve">2021/06</t>
  </si>
  <si>
    <t xml:space="preserve">2021/07</t>
  </si>
  <si>
    <t xml:space="preserve">2021/08</t>
  </si>
  <si>
    <t xml:space="preserve">2021/09</t>
  </si>
  <si>
    <t xml:space="preserve">2021/10</t>
  </si>
  <si>
    <t xml:space="preserve">2021/11</t>
  </si>
  <si>
    <t xml:space="preserve">2021/12</t>
  </si>
  <si>
    <t xml:space="preserve">2022/01</t>
  </si>
  <si>
    <t xml:space="preserve">2022/02</t>
  </si>
  <si>
    <t xml:space="preserve">2022/03</t>
  </si>
  <si>
    <t xml:space="preserve">2022/04</t>
  </si>
  <si>
    <t xml:space="preserve">2022/05</t>
  </si>
  <si>
    <t xml:space="preserve">2022/06</t>
  </si>
  <si>
    <t xml:space="preserve">2022/07</t>
  </si>
  <si>
    <t xml:space="preserve">2022/08</t>
  </si>
  <si>
    <t xml:space="preserve">2022/09</t>
  </si>
  <si>
    <t xml:space="preserve">2022/10</t>
  </si>
  <si>
    <t xml:space="preserve">2022/11</t>
  </si>
  <si>
    <t xml:space="preserve">2022/12</t>
  </si>
  <si>
    <t xml:space="preserve">2023/01</t>
  </si>
  <si>
    <t xml:space="preserve">2023/02</t>
  </si>
  <si>
    <t xml:space="preserve">2023/03</t>
  </si>
  <si>
    <t xml:space="preserve">2023/04</t>
  </si>
  <si>
    <t xml:space="preserve">2023/05</t>
  </si>
  <si>
    <t xml:space="preserve">2023/06</t>
  </si>
  <si>
    <t xml:space="preserve">2023/07</t>
  </si>
  <si>
    <t xml:space="preserve">2023/08</t>
  </si>
  <si>
    <t xml:space="preserve">2023/09</t>
  </si>
  <si>
    <t xml:space="preserve">2023/10</t>
  </si>
  <si>
    <t xml:space="preserve">2023/11</t>
  </si>
  <si>
    <t xml:space="preserve">2023/12</t>
  </si>
  <si>
    <t xml:space="preserve">2024/01</t>
  </si>
  <si>
    <t xml:space="preserve">2024/02</t>
  </si>
  <si>
    <t xml:space="preserve">2024/03</t>
  </si>
  <si>
    <t xml:space="preserve">2024/04</t>
  </si>
  <si>
    <t xml:space="preserve">2024/05</t>
  </si>
  <si>
    <t xml:space="preserve">2024/06</t>
  </si>
  <si>
    <t xml:space="preserve">2024/07</t>
  </si>
  <si>
    <t xml:space="preserve">2024/08</t>
  </si>
  <si>
    <t xml:space="preserve">2024/09</t>
  </si>
  <si>
    <t xml:space="preserve">2024/10</t>
  </si>
  <si>
    <t xml:space="preserve">2024/11</t>
  </si>
  <si>
    <t xml:space="preserve">2024/12</t>
  </si>
  <si>
    <t xml:space="preserve">2025/01</t>
  </si>
  <si>
    <t xml:space="preserve">2025/02</t>
  </si>
  <si>
    <t xml:space="preserve">2025/03</t>
  </si>
  <si>
    <t xml:space="preserve">2025/04</t>
  </si>
  <si>
    <t xml:space="preserve">2025/05</t>
  </si>
  <si>
    <t xml:space="preserve">2025/06</t>
  </si>
  <si>
    <t xml:space="preserve">2025/07</t>
  </si>
  <si>
    <t xml:space="preserve">2025/08</t>
  </si>
  <si>
    <t xml:space="preserve">2025/09</t>
  </si>
  <si>
    <t xml:space="preserve">2025/10</t>
  </si>
  <si>
    <t xml:space="preserve">2025/11</t>
  </si>
  <si>
    <t xml:space="preserve">2025/12</t>
  </si>
  <si>
    <t xml:space="preserve">2026/01</t>
  </si>
  <si>
    <t xml:space="preserve">2026/02</t>
  </si>
  <si>
    <t xml:space="preserve">2026/03</t>
  </si>
  <si>
    <t xml:space="preserve">2026/04</t>
  </si>
  <si>
    <t xml:space="preserve">2026/05</t>
  </si>
  <si>
    <t xml:space="preserve">곡물류</t>
  </si>
  <si>
    <t xml:space="preserve">쌀</t>
  </si>
  <si>
    <t xml:space="preserve">2020=100</t>
  </si>
  <si>
    <t xml:space="preserve">보리쌀</t>
  </si>
  <si>
    <t xml:space="preserve">콩</t>
  </si>
  <si>
    <t xml:space="preserve">서류</t>
  </si>
  <si>
    <t xml:space="preserve">감자</t>
  </si>
  <si>
    <t xml:space="preserve">고구마</t>
  </si>
  <si>
    <r>
      <rPr>
        <sz val="10"/>
        <rFont val="Noto Sans CJK SC"/>
        <family val="2"/>
      </rPr>
      <t xml:space="preserve">채소류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엽경채</t>
    </r>
    <r>
      <rPr>
        <sz val="10"/>
        <rFont val="Arial"/>
        <family val="0"/>
        <charset val="1"/>
      </rPr>
      <t xml:space="preserve">)</t>
    </r>
  </si>
  <si>
    <t xml:space="preserve">배추</t>
  </si>
  <si>
    <t xml:space="preserve">시금치</t>
  </si>
  <si>
    <t xml:space="preserve">상추</t>
  </si>
  <si>
    <t xml:space="preserve">부추</t>
  </si>
  <si>
    <t xml:space="preserve">수박</t>
  </si>
  <si>
    <t xml:space="preserve">참외</t>
  </si>
  <si>
    <t xml:space="preserve">오이</t>
  </si>
  <si>
    <t xml:space="preserve">호박</t>
  </si>
  <si>
    <t xml:space="preserve">토마토</t>
  </si>
  <si>
    <r>
      <rPr>
        <sz val="10"/>
        <rFont val="Noto Sans CJK SC"/>
        <family val="2"/>
      </rPr>
      <t xml:space="preserve">채소류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</si>
  <si>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t xml:space="preserve">딸기</t>
  </si>
  <si>
    <t xml:space="preserve">파프리카</t>
  </si>
  <si>
    <t xml:space="preserve">무</t>
  </si>
  <si>
    <t xml:space="preserve">풋고추</t>
  </si>
  <si>
    <t xml:space="preserve">건고추</t>
  </si>
  <si>
    <t xml:space="preserve">마늘</t>
  </si>
  <si>
    <t xml:space="preserve">파</t>
  </si>
  <si>
    <t xml:space="preserve">양파</t>
  </si>
  <si>
    <t xml:space="preserve">생강</t>
  </si>
  <si>
    <t xml:space="preserve">버섯</t>
  </si>
  <si>
    <t xml:space="preserve">피망</t>
  </si>
  <si>
    <t xml:space="preserve">양배추</t>
  </si>
  <si>
    <t xml:space="preserve">2022.12=100</t>
  </si>
  <si>
    <t xml:space="preserve">과실류</t>
  </si>
  <si>
    <t xml:space="preserve">사과</t>
  </si>
  <si>
    <t xml:space="preserve">배</t>
  </si>
  <si>
    <t xml:space="preserve">복숭아</t>
  </si>
  <si>
    <t xml:space="preserve">포도</t>
  </si>
  <si>
    <t xml:space="preserve">감귤</t>
  </si>
  <si>
    <t xml:space="preserve">감</t>
  </si>
  <si>
    <t xml:space="preserve">축산물</t>
  </si>
  <si>
    <t xml:space="preserve">쇠고기</t>
  </si>
  <si>
    <t xml:space="preserve">돼지고기</t>
  </si>
  <si>
    <t xml:space="preserve">닭고기</t>
  </si>
  <si>
    <t xml:space="preserve">오리고기</t>
  </si>
  <si>
    <t xml:space="preserve">달걀</t>
  </si>
  <si>
    <t xml:space="preserve">벌꿀</t>
  </si>
  <si>
    <t xml:space="preserve">임산물</t>
  </si>
  <si>
    <t xml:space="preserve">원목</t>
  </si>
  <si>
    <t xml:space="preserve">산나물</t>
  </si>
  <si>
    <t xml:space="preserve">밤</t>
  </si>
  <si>
    <r>
      <rPr>
        <sz val="10"/>
        <rFont val="Noto Sans CJK SC"/>
        <family val="2"/>
      </rPr>
      <t xml:space="preserve">수산물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생물</t>
    </r>
    <r>
      <rPr>
        <sz val="10"/>
        <rFont val="Arial"/>
        <family val="0"/>
        <charset val="1"/>
      </rPr>
      <t xml:space="preserve">)</t>
    </r>
  </si>
  <si>
    <t xml:space="preserve">가자미</t>
  </si>
  <si>
    <t xml:space="preserve">넙치</t>
  </si>
  <si>
    <t xml:space="preserve">조기</t>
  </si>
  <si>
    <t xml:space="preserve">갈치</t>
  </si>
  <si>
    <t xml:space="preserve">고등어</t>
  </si>
  <si>
    <r>
      <rPr>
        <b val="true"/>
        <sz val="10"/>
        <rFont val="Noto Sans CJK SC"/>
        <family val="2"/>
      </rPr>
      <t xml:space="preserve">조피볼락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우럭</t>
    </r>
    <r>
      <rPr>
        <b val="true"/>
        <sz val="10"/>
        <rFont val="Arial"/>
        <family val="0"/>
        <charset val="1"/>
      </rPr>
      <t xml:space="preserve">)</t>
    </r>
  </si>
  <si>
    <t xml:space="preserve">기타어류</t>
  </si>
  <si>
    <t xml:space="preserve">멸치</t>
  </si>
  <si>
    <t xml:space="preserve">게</t>
  </si>
  <si>
    <t xml:space="preserve">새우</t>
  </si>
  <si>
    <r>
      <rPr>
        <sz val="10"/>
        <rFont val="Noto Sans CJK SC"/>
        <family val="2"/>
      </rPr>
      <t xml:space="preserve">수산물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)</t>
    </r>
  </si>
  <si>
    <t xml:space="preserve">굴</t>
  </si>
  <si>
    <t xml:space="preserve">조개</t>
  </si>
  <si>
    <t xml:space="preserve">전복</t>
  </si>
  <si>
    <t xml:space="preserve">물오징어</t>
  </si>
  <si>
    <t xml:space="preserve">냉동고등어</t>
  </si>
  <si>
    <t xml:space="preserve">냉동오징어</t>
  </si>
  <si>
    <t xml:space="preserve">냉동명태</t>
  </si>
  <si>
    <t xml:space="preserve">명태건제품</t>
  </si>
  <si>
    <t xml:space="preserve">멸치건제품</t>
  </si>
  <si>
    <t xml:space="preserve">오징어건제품</t>
  </si>
  <si>
    <t xml:space="preserve">김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</si>
  <si>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</si>
  <si>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</si>
  <si>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</si>
  <si>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</si>
  <si>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</si>
  <si>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</si>
  <si>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</si>
  <si>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</si>
  <si>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</si>
  <si>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</si>
  <si>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</si>
  <si>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월</t>
    </r>
  </si>
  <si>
    <t xml:space="preserve">가장많이오르는달</t>
  </si>
  <si>
    <t xml:space="preserve">평균상승률</t>
  </si>
  <si>
    <t xml:space="preserve">가장많이내리는달</t>
  </si>
  <si>
    <t xml:space="preserve">평균하락률</t>
  </si>
  <si>
    <r>
      <rPr>
        <sz val="11"/>
        <rFont val="Noto Sans CJK SC"/>
        <family val="2"/>
      </rPr>
      <t xml:space="preserve">카테고리별 월별 평균 전월대비 등락률</t>
    </r>
    <r>
      <rPr>
        <sz val="11"/>
        <rFont val="Cambria"/>
        <family val="0"/>
        <charset val="1"/>
      </rPr>
      <t xml:space="preserve">(%) </t>
    </r>
    <r>
      <rPr>
        <sz val="11"/>
        <rFont val="Noto Sans CJK SC"/>
        <family val="2"/>
      </rPr>
      <t xml:space="preserve">계절 패턴 </t>
    </r>
    <r>
      <rPr>
        <sz val="11"/>
        <rFont val="Cambria"/>
        <family val="0"/>
        <charset val="1"/>
      </rPr>
      <t xml:space="preserve">(2021.1~2026.5 </t>
    </r>
    <r>
      <rPr>
        <sz val="11"/>
        <rFont val="Noto Sans CJK SC"/>
        <family val="2"/>
      </rPr>
      <t xml:space="preserve">평균</t>
    </r>
    <r>
      <rPr>
        <sz val="11"/>
        <rFont val="Cambria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</si>
</sst>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sz val="10"/>
      <color rgb="FF000000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2"/>
      <color rgb="FF1F4E78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color rgb="FF0070C0"/>
      <name val="Arial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26FA6"/>
      <rgbColor rgb="FFB3C992"/>
      <rgbColor rgb="FF878787"/>
      <rgbColor rgb="FF8EA5CA"/>
      <rgbColor rgb="FFAA433F"/>
      <rgbColor rgb="FFFFFFCC"/>
      <rgbColor rgb="FFCCFFFF"/>
      <rgbColor rgb="FF660066"/>
      <rgbColor rgb="FFCC8F8E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CCFFFF"/>
      <rgbColor rgb="FFCCFFCC"/>
      <rgbColor rgb="FFFFFF99"/>
      <rgbColor rgb="FF8CBFD2"/>
      <rgbColor rgb="FFFF99CC"/>
      <rgbColor rgb="FFCC99FF"/>
      <rgbColor rgb="FFF5B089"/>
      <rgbColor rgb="FF4472C4"/>
      <rgbColor rgb="FF46AAC4"/>
      <rgbColor rgb="FF98B855"/>
      <rgbColor rgb="FFFFCC00"/>
      <rgbColor rgb="FFF59240"/>
      <rgbColor rgb="FFDB8238"/>
      <rgbColor rgb="FF6F568D"/>
      <rgbColor rgb="FFA596B9"/>
      <rgbColor rgb="FF003366"/>
      <rgbColor rgb="FF3D97AF"/>
      <rgbColor rgb="FF003300"/>
      <rgbColor rgb="FF333300"/>
      <rgbColor rgb="FF993300"/>
      <rgbColor rgb="FFBE4B48"/>
      <rgbColor rgb="FF1F4E78"/>
      <rgbColor rgb="FF7D5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곡물류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'계절평균(월별등락률)'!B2</c:f>
              <c:strCache>
                <c:ptCount val="1"/>
                <c:pt idx="0">
                  <c:v>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'계절평균(월별등락률)'!$C$2:$N$2</c:f>
              <c:numCache>
                <c:formatCode>0.0%</c:formatCode>
                <c:ptCount val="12"/>
                <c:pt idx="0">
                  <c:v>-0.0104132277485186</c:v>
                </c:pt>
                <c:pt idx="1">
                  <c:v>0.000783925577732547</c:v>
                </c:pt>
                <c:pt idx="2">
                  <c:v>0.000375601314860197</c:v>
                </c:pt>
                <c:pt idx="3">
                  <c:v>-0.00738587671260936</c:v>
                </c:pt>
                <c:pt idx="4">
                  <c:v>-0.00464516288044433</c:v>
                </c:pt>
                <c:pt idx="5">
                  <c:v>0.00404944931003808</c:v>
                </c:pt>
                <c:pt idx="6">
                  <c:v>-0.000896941795425232</c:v>
                </c:pt>
                <c:pt idx="7">
                  <c:v>0.00225627413430851</c:v>
                </c:pt>
                <c:pt idx="8">
                  <c:v>-0.000274803925863232</c:v>
                </c:pt>
                <c:pt idx="9">
                  <c:v>0.0672538061187475</c:v>
                </c:pt>
                <c:pt idx="10">
                  <c:v>-0.0281386107367728</c:v>
                </c:pt>
                <c:pt idx="11">
                  <c:v>-0.00547142028294445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'계절평균(월별등락률)'!B3</c:f>
              <c:strCache>
                <c:ptCount val="1"/>
                <c:pt idx="0">
                  <c:v>보리쌀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'계절평균(월별등락률)'!$C$3:$N$3</c:f>
              <c:numCache>
                <c:formatCode>0.0%</c:formatCode>
                <c:ptCount val="12"/>
                <c:pt idx="0">
                  <c:v>-0.000789261996863466</c:v>
                </c:pt>
                <c:pt idx="1">
                  <c:v>0.00322732710874135</c:v>
                </c:pt>
                <c:pt idx="2">
                  <c:v>0.00276969787012162</c:v>
                </c:pt>
                <c:pt idx="3">
                  <c:v>-0.00423493206903406</c:v>
                </c:pt>
                <c:pt idx="4">
                  <c:v>-0.00932872297921863</c:v>
                </c:pt>
                <c:pt idx="5">
                  <c:v>0.0291348396459909</c:v>
                </c:pt>
                <c:pt idx="6">
                  <c:v>0.0667007266345432</c:v>
                </c:pt>
                <c:pt idx="7">
                  <c:v>0.000155763239875384</c:v>
                </c:pt>
                <c:pt idx="8">
                  <c:v>0</c:v>
                </c:pt>
                <c:pt idx="9">
                  <c:v>0.00973657024793386</c:v>
                </c:pt>
                <c:pt idx="10">
                  <c:v>0.00680950621844603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'계절평균(월별등락률)'!B4</c:f>
              <c:strCache>
                <c:ptCount val="1"/>
                <c:pt idx="0">
                  <c:v>콩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'계절평균(월별등락률)'!$C$4:$N$4</c:f>
              <c:numCache>
                <c:formatCode>0.0%</c:formatCode>
                <c:ptCount val="12"/>
                <c:pt idx="0">
                  <c:v>-0.0133572543299105</c:v>
                </c:pt>
                <c:pt idx="1">
                  <c:v>-0.00410160182699952</c:v>
                </c:pt>
                <c:pt idx="2">
                  <c:v>0.00446013539253293</c:v>
                </c:pt>
                <c:pt idx="3">
                  <c:v>-0.00121220041420154</c:v>
                </c:pt>
                <c:pt idx="4">
                  <c:v>0.00348439891206818</c:v>
                </c:pt>
                <c:pt idx="5">
                  <c:v>0.00452840142475808</c:v>
                </c:pt>
                <c:pt idx="6">
                  <c:v>0.00354377471104768</c:v>
                </c:pt>
                <c:pt idx="7">
                  <c:v>0.0029591026717454</c:v>
                </c:pt>
                <c:pt idx="8">
                  <c:v>0.00200365669098943</c:v>
                </c:pt>
                <c:pt idx="9">
                  <c:v>0.00103940453998908</c:v>
                </c:pt>
                <c:pt idx="10">
                  <c:v>-0.00833683444110496</c:v>
                </c:pt>
                <c:pt idx="11">
                  <c:v>-0.0148444598018511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490317"/>
        <c:axId val="34045116"/>
      </c:lineChart>
      <c:catAx>
        <c:axId val="904903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45116"/>
        <c:crosses val="autoZero"/>
        <c:auto val="1"/>
        <c:lblAlgn val="ctr"/>
        <c:lblOffset val="100"/>
        <c:noMultiLvlLbl val="0"/>
      </c:catAx>
      <c:valAx>
        <c:axId val="340451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90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서류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'계절평균(월별등락률)'!B5</c:f>
              <c:strCache>
                <c:ptCount val="1"/>
                <c:pt idx="0">
                  <c:v>감자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'계절평균(월별등락률)'!$C$5:$N$5</c:f>
              <c:numCache>
                <c:formatCode>0.0%</c:formatCode>
                <c:ptCount val="12"/>
                <c:pt idx="0">
                  <c:v>0.0523189491273014</c:v>
                </c:pt>
                <c:pt idx="1">
                  <c:v>-0.0365575589396297</c:v>
                </c:pt>
                <c:pt idx="2">
                  <c:v>0.0256394752271153</c:v>
                </c:pt>
                <c:pt idx="3">
                  <c:v>0.137417553411179</c:v>
                </c:pt>
                <c:pt idx="4">
                  <c:v>-0.0848309853032339</c:v>
                </c:pt>
                <c:pt idx="5">
                  <c:v>-0.261517654407878</c:v>
                </c:pt>
                <c:pt idx="6">
                  <c:v>0.0222644221724199</c:v>
                </c:pt>
                <c:pt idx="7">
                  <c:v>0.138688281215103</c:v>
                </c:pt>
                <c:pt idx="8">
                  <c:v>0.0397047940437255</c:v>
                </c:pt>
                <c:pt idx="9">
                  <c:v>-0.00496956455232436</c:v>
                </c:pt>
                <c:pt idx="10">
                  <c:v>0.0569389267154827</c:v>
                </c:pt>
                <c:pt idx="11">
                  <c:v>0.0739218151969698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'계절평균(월별등락률)'!B6</c:f>
              <c:strCache>
                <c:ptCount val="1"/>
                <c:pt idx="0">
                  <c:v>고구마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'계절평균(월별등락률)'!$C$6:$N$6</c:f>
              <c:numCache>
                <c:formatCode>0.0%</c:formatCode>
                <c:ptCount val="12"/>
                <c:pt idx="0">
                  <c:v>0.0140473889133343</c:v>
                </c:pt>
                <c:pt idx="1">
                  <c:v>0.0309206649616498</c:v>
                </c:pt>
                <c:pt idx="2">
                  <c:v>-0.0363990770245079</c:v>
                </c:pt>
                <c:pt idx="3">
                  <c:v>-0.00486017386604798</c:v>
                </c:pt>
                <c:pt idx="4">
                  <c:v>0.0687901196605954</c:v>
                </c:pt>
                <c:pt idx="5">
                  <c:v>0.0380057018150479</c:v>
                </c:pt>
                <c:pt idx="6">
                  <c:v>-0.140385749129133</c:v>
                </c:pt>
                <c:pt idx="7">
                  <c:v>0.0753966911417403</c:v>
                </c:pt>
                <c:pt idx="8">
                  <c:v>-0.0758255811276239</c:v>
                </c:pt>
                <c:pt idx="9">
                  <c:v>-0.0759184335510277</c:v>
                </c:pt>
                <c:pt idx="10">
                  <c:v>0.0232705158007874</c:v>
                </c:pt>
                <c:pt idx="11">
                  <c:v>0.0680330110387228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698846"/>
        <c:axId val="87144260"/>
      </c:lineChart>
      <c:catAx>
        <c:axId val="766988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44260"/>
        <c:crosses val="autoZero"/>
        <c:auto val="1"/>
        <c:lblAlgn val="ctr"/>
        <c:lblOffset val="100"/>
        <c:noMultiLvlLbl val="0"/>
      </c:catAx>
      <c:valAx>
        <c:axId val="87144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988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채소류(엽경채)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'계절평균(월별등락률)'!B7</c:f>
              <c:strCache>
                <c:ptCount val="1"/>
                <c:pt idx="0">
                  <c:v>배추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'계절평균(월별등락률)'!$C$7:$N$7</c:f>
              <c:numCache>
                <c:formatCode>0.0%</c:formatCode>
                <c:ptCount val="12"/>
                <c:pt idx="0">
                  <c:v>0.0560277466177169</c:v>
                </c:pt>
                <c:pt idx="1">
                  <c:v>0.172448154015417</c:v>
                </c:pt>
                <c:pt idx="2">
                  <c:v>0.162372513928355</c:v>
                </c:pt>
                <c:pt idx="3">
                  <c:v>0.107997344011237</c:v>
                </c:pt>
                <c:pt idx="4">
                  <c:v>-0.206491989264989</c:v>
                </c:pt>
                <c:pt idx="5">
                  <c:v>-0.139147089477944</c:v>
                </c:pt>
                <c:pt idx="6">
                  <c:v>0.331729747436745</c:v>
                </c:pt>
                <c:pt idx="7">
                  <c:v>0.601069244194685</c:v>
                </c:pt>
                <c:pt idx="8">
                  <c:v>0.332891173734801</c:v>
                </c:pt>
                <c:pt idx="9">
                  <c:v>-0.410681209347012</c:v>
                </c:pt>
                <c:pt idx="10">
                  <c:v>-0.157229063165096</c:v>
                </c:pt>
                <c:pt idx="11">
                  <c:v>-0.0744188705621281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'계절평균(월별등락률)'!B8</c:f>
              <c:strCache>
                <c:ptCount val="1"/>
                <c:pt idx="0">
                  <c:v>시금치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'계절평균(월별등락률)'!$C$8:$N$8</c:f>
              <c:numCache>
                <c:formatCode>0.0%</c:formatCode>
                <c:ptCount val="12"/>
                <c:pt idx="0">
                  <c:v>0.330440820739425</c:v>
                </c:pt>
                <c:pt idx="1">
                  <c:v>0.0828533040746135</c:v>
                </c:pt>
                <c:pt idx="2">
                  <c:v>-0.191176387224574</c:v>
                </c:pt>
                <c:pt idx="3">
                  <c:v>-0.102959736492814</c:v>
                </c:pt>
                <c:pt idx="4">
                  <c:v>0.126738354173719</c:v>
                </c:pt>
                <c:pt idx="5">
                  <c:v>0.251952692233903</c:v>
                </c:pt>
                <c:pt idx="6">
                  <c:v>1.46326032960413</c:v>
                </c:pt>
                <c:pt idx="7">
                  <c:v>0.659885454780932</c:v>
                </c:pt>
                <c:pt idx="8">
                  <c:v>-0.112822284555675</c:v>
                </c:pt>
                <c:pt idx="9">
                  <c:v>-0.541630570405754</c:v>
                </c:pt>
                <c:pt idx="10">
                  <c:v>-0.420081490975602</c:v>
                </c:pt>
                <c:pt idx="11">
                  <c:v>-0.12494733549808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'계절평균(월별등락률)'!B9</c:f>
              <c:strCache>
                <c:ptCount val="1"/>
                <c:pt idx="0">
                  <c:v>상추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'계절평균(월별등락률)'!$C$9:$N$9</c:f>
              <c:numCache>
                <c:formatCode>0.0%</c:formatCode>
                <c:ptCount val="12"/>
                <c:pt idx="0">
                  <c:v>0.417269004105675</c:v>
                </c:pt>
                <c:pt idx="1">
                  <c:v>-0.311689650038641</c:v>
                </c:pt>
                <c:pt idx="2">
                  <c:v>-0.113976846362139</c:v>
                </c:pt>
                <c:pt idx="3">
                  <c:v>0.00536093702289087</c:v>
                </c:pt>
                <c:pt idx="4">
                  <c:v>0.0840154335862218</c:v>
                </c:pt>
                <c:pt idx="5">
                  <c:v>0.337681167847316</c:v>
                </c:pt>
                <c:pt idx="6">
                  <c:v>1.27332377661622</c:v>
                </c:pt>
                <c:pt idx="7">
                  <c:v>0.0344082292451033</c:v>
                </c:pt>
                <c:pt idx="8">
                  <c:v>0.133954040750466</c:v>
                </c:pt>
                <c:pt idx="9">
                  <c:v>-0.259651531088695</c:v>
                </c:pt>
                <c:pt idx="10">
                  <c:v>-0.473583144105639</c:v>
                </c:pt>
                <c:pt idx="11">
                  <c:v>0.0524984128101677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'계절평균(월별등락률)'!B10</c:f>
              <c:strCache>
                <c:ptCount val="1"/>
                <c:pt idx="0">
                  <c:v>부추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'계절평균(월별등락률)'!$C$10:$N$10</c:f>
              <c:numCache>
                <c:formatCode>0.0%</c:formatCode>
                <c:ptCount val="12"/>
                <c:pt idx="0">
                  <c:v>0.0834682879929611</c:v>
                </c:pt>
                <c:pt idx="1">
                  <c:v>-0.0445095802132768</c:v>
                </c:pt>
                <c:pt idx="2">
                  <c:v>-0.209063589967744</c:v>
                </c:pt>
                <c:pt idx="3">
                  <c:v>-0.321070164652954</c:v>
                </c:pt>
                <c:pt idx="4">
                  <c:v>-0.293995094361544</c:v>
                </c:pt>
                <c:pt idx="5">
                  <c:v>-0.20776315803285</c:v>
                </c:pt>
                <c:pt idx="6">
                  <c:v>0.458404408333161</c:v>
                </c:pt>
                <c:pt idx="7">
                  <c:v>0.739878915285685</c:v>
                </c:pt>
                <c:pt idx="8">
                  <c:v>-0.185273626496395</c:v>
                </c:pt>
                <c:pt idx="9">
                  <c:v>0.246605520095199</c:v>
                </c:pt>
                <c:pt idx="10">
                  <c:v>0.577190716514515</c:v>
                </c:pt>
                <c:pt idx="11">
                  <c:v>-0.00324929598154624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'계절평균(월별등락률)'!B11</c:f>
              <c:strCache>
                <c:ptCount val="1"/>
                <c:pt idx="0">
                  <c:v>수박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'계절평균(월별등락률)'!$C$11:$N$11</c:f>
              <c:numCache>
                <c:formatCode>0.0%</c:formatCode>
                <c:ptCount val="12"/>
                <c:pt idx="0">
                  <c:v>0.175015663094867</c:v>
                </c:pt>
                <c:pt idx="1">
                  <c:v>0.302597537498408</c:v>
                </c:pt>
                <c:pt idx="2">
                  <c:v>0.118378409075603</c:v>
                </c:pt>
                <c:pt idx="3">
                  <c:v>-0.0771302917308114</c:v>
                </c:pt>
                <c:pt idx="4">
                  <c:v>-0.0555812525816708</c:v>
                </c:pt>
                <c:pt idx="5">
                  <c:v>-0.164060527098459</c:v>
                </c:pt>
                <c:pt idx="6">
                  <c:v>0.345008213493939</c:v>
                </c:pt>
                <c:pt idx="7">
                  <c:v>0.156529787610424</c:v>
                </c:pt>
                <c:pt idx="8">
                  <c:v>-0.302366855236016</c:v>
                </c:pt>
                <c:pt idx="9">
                  <c:v>-0.167256052169666</c:v>
                </c:pt>
                <c:pt idx="10">
                  <c:v>0.147547431152432</c:v>
                </c:pt>
                <c:pt idx="11">
                  <c:v>0.110730372833861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'계절평균(월별등락률)'!B12</c:f>
              <c:strCache>
                <c:ptCount val="1"/>
                <c:pt idx="0">
                  <c:v>참외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'계절평균(월별등락률)'!$C$12:$N$12</c:f>
              <c:numCache>
                <c:formatCode>0.0%</c:formatCode>
                <c:ptCount val="12"/>
                <c:pt idx="0">
                  <c:v>0</c:v>
                </c:pt>
                <c:pt idx="1">
                  <c:v>-0.0244279529993816</c:v>
                </c:pt>
                <c:pt idx="2">
                  <c:v>0.898244261329451</c:v>
                </c:pt>
                <c:pt idx="3">
                  <c:v>-0.0824675689764557</c:v>
                </c:pt>
                <c:pt idx="4">
                  <c:v>-0.410307585377421</c:v>
                </c:pt>
                <c:pt idx="5">
                  <c:v>-0.0905584352863527</c:v>
                </c:pt>
                <c:pt idx="6">
                  <c:v>-0.148370156691296</c:v>
                </c:pt>
                <c:pt idx="7">
                  <c:v>0.357169148794194</c:v>
                </c:pt>
                <c:pt idx="8">
                  <c:v>-0.0346835443037975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'계절평균(월별등락률)'!B13</c:f>
              <c:strCache>
                <c:ptCount val="1"/>
                <c:pt idx="0">
                  <c:v>오이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'계절평균(월별등락률)'!$C$13:$N$13</c:f>
              <c:numCache>
                <c:formatCode>0.0%</c:formatCode>
                <c:ptCount val="12"/>
                <c:pt idx="0">
                  <c:v>0.22776043691168</c:v>
                </c:pt>
                <c:pt idx="1">
                  <c:v>-0.0794918707995856</c:v>
                </c:pt>
                <c:pt idx="2">
                  <c:v>-0.163042881115675</c:v>
                </c:pt>
                <c:pt idx="3">
                  <c:v>-0.362302836458096</c:v>
                </c:pt>
                <c:pt idx="4">
                  <c:v>-0.20691881166733</c:v>
                </c:pt>
                <c:pt idx="5">
                  <c:v>0.0231539612796147</c:v>
                </c:pt>
                <c:pt idx="6">
                  <c:v>0.579875179668166</c:v>
                </c:pt>
                <c:pt idx="7">
                  <c:v>0.22374510767966</c:v>
                </c:pt>
                <c:pt idx="8">
                  <c:v>0.00798193394952815</c:v>
                </c:pt>
                <c:pt idx="9">
                  <c:v>-0.0653139978490556</c:v>
                </c:pt>
                <c:pt idx="10">
                  <c:v>0.0269995531794675</c:v>
                </c:pt>
                <c:pt idx="11">
                  <c:v>0.237134353627082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'계절평균(월별등락률)'!B14</c:f>
              <c:strCache>
                <c:ptCount val="1"/>
                <c:pt idx="0">
                  <c:v>호박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'계절평균(월별등락률)'!$C$14:$N$14</c:f>
              <c:numCache>
                <c:formatCode>0.0%</c:formatCode>
                <c:ptCount val="12"/>
                <c:pt idx="0">
                  <c:v>0.329217598225947</c:v>
                </c:pt>
                <c:pt idx="1">
                  <c:v>0.0120803148280353</c:v>
                </c:pt>
                <c:pt idx="2">
                  <c:v>-0.124699707660611</c:v>
                </c:pt>
                <c:pt idx="3">
                  <c:v>-0.375544354101805</c:v>
                </c:pt>
                <c:pt idx="4">
                  <c:v>-0.112231941390762</c:v>
                </c:pt>
                <c:pt idx="5">
                  <c:v>-0.00303416498689757</c:v>
                </c:pt>
                <c:pt idx="6">
                  <c:v>0.134120831272229</c:v>
                </c:pt>
                <c:pt idx="7">
                  <c:v>0.453919678008594</c:v>
                </c:pt>
                <c:pt idx="8">
                  <c:v>0.130373990559457</c:v>
                </c:pt>
                <c:pt idx="9">
                  <c:v>-0.0646478026940322</c:v>
                </c:pt>
                <c:pt idx="10">
                  <c:v>-0.157386778903564</c:v>
                </c:pt>
                <c:pt idx="11">
                  <c:v>0.214610902264148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'계절평균(월별등락률)'!B15</c:f>
              <c:strCache>
                <c:ptCount val="1"/>
                <c:pt idx="0">
                  <c:v>토마토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'계절평균(월별등락률)'!$C$15:$N$15</c:f>
              <c:numCache>
                <c:formatCode>0.0%</c:formatCode>
                <c:ptCount val="12"/>
                <c:pt idx="0">
                  <c:v>0.0174802348283877</c:v>
                </c:pt>
                <c:pt idx="1">
                  <c:v>0.019832097849969</c:v>
                </c:pt>
                <c:pt idx="2">
                  <c:v>0.0853448903067143</c:v>
                </c:pt>
                <c:pt idx="3">
                  <c:v>-0.145234392170033</c:v>
                </c:pt>
                <c:pt idx="4">
                  <c:v>-0.189911872198943</c:v>
                </c:pt>
                <c:pt idx="5">
                  <c:v>-0.108399076143099</c:v>
                </c:pt>
                <c:pt idx="6">
                  <c:v>0.185368403819741</c:v>
                </c:pt>
                <c:pt idx="7">
                  <c:v>0.185166878505995</c:v>
                </c:pt>
                <c:pt idx="8">
                  <c:v>0.288527156461786</c:v>
                </c:pt>
                <c:pt idx="9">
                  <c:v>0.00756692691691945</c:v>
                </c:pt>
                <c:pt idx="10">
                  <c:v>-0.0197255377722446</c:v>
                </c:pt>
                <c:pt idx="11">
                  <c:v>-0.0985371310851311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344329"/>
        <c:axId val="87130694"/>
      </c:lineChart>
      <c:catAx>
        <c:axId val="103443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30694"/>
        <c:crosses val="autoZero"/>
        <c:auto val="1"/>
        <c:lblAlgn val="ctr"/>
        <c:lblOffset val="100"/>
        <c:noMultiLvlLbl val="0"/>
      </c:catAx>
      <c:valAx>
        <c:axId val="87130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44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채소류(기타)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'계절평균(월별등락률)'!B16</c:f>
              <c:strCache>
                <c:ptCount val="1"/>
                <c:pt idx="0">
                  <c:v>딸기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'계절평균(월별등락률)'!$C$16:$N$16</c:f>
              <c:numCache>
                <c:formatCode>0.0%</c:formatCode>
                <c:ptCount val="12"/>
                <c:pt idx="0">
                  <c:v>0.0826435741797417</c:v>
                </c:pt>
                <c:pt idx="1">
                  <c:v>-0.197203899646991</c:v>
                </c:pt>
                <c:pt idx="2">
                  <c:v>-0.305902747147539</c:v>
                </c:pt>
                <c:pt idx="3">
                  <c:v>-0.175377204459872</c:v>
                </c:pt>
                <c:pt idx="4">
                  <c:v>-0.00724777179195561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1.34462692733707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'계절평균(월별등락률)'!B17</c:f>
              <c:strCache>
                <c:ptCount val="1"/>
                <c:pt idx="0">
                  <c:v>파프리카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'계절평균(월별등락률)'!$C$17:$N$17</c:f>
              <c:numCache>
                <c:formatCode>0.0%</c:formatCode>
                <c:ptCount val="12"/>
                <c:pt idx="0">
                  <c:v>0.504675793488212</c:v>
                </c:pt>
                <c:pt idx="1">
                  <c:v>0.132103570149344</c:v>
                </c:pt>
                <c:pt idx="2">
                  <c:v>-0.11335146785843</c:v>
                </c:pt>
                <c:pt idx="3">
                  <c:v>-0.20185057696664</c:v>
                </c:pt>
                <c:pt idx="4">
                  <c:v>-0.172328812672772</c:v>
                </c:pt>
                <c:pt idx="5">
                  <c:v>-0.193401148909904</c:v>
                </c:pt>
                <c:pt idx="6">
                  <c:v>-0.10593512645955</c:v>
                </c:pt>
                <c:pt idx="7">
                  <c:v>1.03168664107789</c:v>
                </c:pt>
                <c:pt idx="8">
                  <c:v>0.194571894997732</c:v>
                </c:pt>
                <c:pt idx="9">
                  <c:v>-0.173178909567564</c:v>
                </c:pt>
                <c:pt idx="10">
                  <c:v>-0.316423031941561</c:v>
                </c:pt>
                <c:pt idx="11">
                  <c:v>0.185011207063001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'계절평균(월별등락률)'!B18</c:f>
              <c:strCache>
                <c:ptCount val="1"/>
                <c:pt idx="0">
                  <c:v>무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'계절평균(월별등락률)'!$C$18:$N$18</c:f>
              <c:numCache>
                <c:formatCode>0.0%</c:formatCode>
                <c:ptCount val="12"/>
                <c:pt idx="0">
                  <c:v>0.0981227148584452</c:v>
                </c:pt>
                <c:pt idx="1">
                  <c:v>0.0214618752410369</c:v>
                </c:pt>
                <c:pt idx="2">
                  <c:v>-0.0683811198721983</c:v>
                </c:pt>
                <c:pt idx="3">
                  <c:v>0.0307316456160504</c:v>
                </c:pt>
                <c:pt idx="4">
                  <c:v>-0.0348761183274371</c:v>
                </c:pt>
                <c:pt idx="5">
                  <c:v>0.0427500138260976</c:v>
                </c:pt>
                <c:pt idx="6">
                  <c:v>0.161029790536809</c:v>
                </c:pt>
                <c:pt idx="7">
                  <c:v>0.274812522576126</c:v>
                </c:pt>
                <c:pt idx="8">
                  <c:v>-0.0240139639756094</c:v>
                </c:pt>
                <c:pt idx="9">
                  <c:v>-0.0914603613276029</c:v>
                </c:pt>
                <c:pt idx="10">
                  <c:v>-0.140589963889879</c:v>
                </c:pt>
                <c:pt idx="11">
                  <c:v>0.0290819401103628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'계절평균(월별등락률)'!B19</c:f>
              <c:strCache>
                <c:ptCount val="1"/>
                <c:pt idx="0">
                  <c:v>풋고추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'계절평균(월별등락률)'!$C$19:$N$19</c:f>
              <c:numCache>
                <c:formatCode>0.0%</c:formatCode>
                <c:ptCount val="12"/>
                <c:pt idx="0">
                  <c:v>0.712206588538203</c:v>
                </c:pt>
                <c:pt idx="1">
                  <c:v>0.474741842247029</c:v>
                </c:pt>
                <c:pt idx="2">
                  <c:v>-0.200613632131647</c:v>
                </c:pt>
                <c:pt idx="3">
                  <c:v>-0.364219359567989</c:v>
                </c:pt>
                <c:pt idx="4">
                  <c:v>-0.0698482644728081</c:v>
                </c:pt>
                <c:pt idx="5">
                  <c:v>0.0932081258225023</c:v>
                </c:pt>
                <c:pt idx="6">
                  <c:v>0.213429992703224</c:v>
                </c:pt>
                <c:pt idx="7">
                  <c:v>-0.243849831105117</c:v>
                </c:pt>
                <c:pt idx="8">
                  <c:v>0.334316511923693</c:v>
                </c:pt>
                <c:pt idx="9">
                  <c:v>0.010242678193228</c:v>
                </c:pt>
                <c:pt idx="10">
                  <c:v>-0.1309695812284</c:v>
                </c:pt>
                <c:pt idx="11">
                  <c:v>-0.113801511564658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'계절평균(월별등락률)'!B20</c:f>
              <c:strCache>
                <c:ptCount val="1"/>
                <c:pt idx="0">
                  <c:v>건고추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'계절평균(월별등락률)'!$C$20:$N$20</c:f>
              <c:numCache>
                <c:formatCode>0.0%</c:formatCode>
                <c:ptCount val="12"/>
                <c:pt idx="0">
                  <c:v>-0.00135125986605604</c:v>
                </c:pt>
                <c:pt idx="1">
                  <c:v>-0.00454982251073677</c:v>
                </c:pt>
                <c:pt idx="2">
                  <c:v>-0.000145113103849404</c:v>
                </c:pt>
                <c:pt idx="3">
                  <c:v>0.000205702052064827</c:v>
                </c:pt>
                <c:pt idx="4">
                  <c:v>-0.000258286300630535</c:v>
                </c:pt>
                <c:pt idx="5">
                  <c:v>0.000322758862280925</c:v>
                </c:pt>
                <c:pt idx="6">
                  <c:v>0.00234850772134265</c:v>
                </c:pt>
                <c:pt idx="7">
                  <c:v>-0.0288947710198902</c:v>
                </c:pt>
                <c:pt idx="8">
                  <c:v>0.00781342180005653</c:v>
                </c:pt>
                <c:pt idx="9">
                  <c:v>-0.00578735137240503</c:v>
                </c:pt>
                <c:pt idx="10">
                  <c:v>-0.00673948023133766</c:v>
                </c:pt>
                <c:pt idx="11">
                  <c:v>-0.00233294317963766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'계절평균(월별등락률)'!B21</c:f>
              <c:strCache>
                <c:ptCount val="1"/>
                <c:pt idx="0">
                  <c:v>마늘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'계절평균(월별등락률)'!$C$21:$N$21</c:f>
              <c:numCache>
                <c:formatCode>0.0%</c:formatCode>
                <c:ptCount val="12"/>
                <c:pt idx="0">
                  <c:v>0.0104517037426738</c:v>
                </c:pt>
                <c:pt idx="1">
                  <c:v>0.0048860228539684</c:v>
                </c:pt>
                <c:pt idx="2">
                  <c:v>0.0108069680759812</c:v>
                </c:pt>
                <c:pt idx="3">
                  <c:v>0.00907320898850034</c:v>
                </c:pt>
                <c:pt idx="4">
                  <c:v>-0.0266646846433994</c:v>
                </c:pt>
                <c:pt idx="5">
                  <c:v>-0.0199313991508869</c:v>
                </c:pt>
                <c:pt idx="6">
                  <c:v>0.0385410934301208</c:v>
                </c:pt>
                <c:pt idx="7">
                  <c:v>-0.0081616079509828</c:v>
                </c:pt>
                <c:pt idx="8">
                  <c:v>-0.00268963257442738</c:v>
                </c:pt>
                <c:pt idx="9">
                  <c:v>0.00237508149412402</c:v>
                </c:pt>
                <c:pt idx="10">
                  <c:v>0.00941674217497883</c:v>
                </c:pt>
                <c:pt idx="11">
                  <c:v>0.00393764473996341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'계절평균(월별등락률)'!B22</c:f>
              <c:strCache>
                <c:ptCount val="1"/>
                <c:pt idx="0">
                  <c:v>파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'계절평균(월별등락률)'!$C$22:$N$22</c:f>
              <c:numCache>
                <c:formatCode>0.0%</c:formatCode>
                <c:ptCount val="12"/>
                <c:pt idx="0">
                  <c:v>-0.0500205147317544</c:v>
                </c:pt>
                <c:pt idx="1">
                  <c:v>0.0949646366077245</c:v>
                </c:pt>
                <c:pt idx="2">
                  <c:v>-0.0272461169173382</c:v>
                </c:pt>
                <c:pt idx="3">
                  <c:v>-0.252798933616452</c:v>
                </c:pt>
                <c:pt idx="4">
                  <c:v>0.0313443801479336</c:v>
                </c:pt>
                <c:pt idx="5">
                  <c:v>-0.102781661533496</c:v>
                </c:pt>
                <c:pt idx="6">
                  <c:v>0.131755664447191</c:v>
                </c:pt>
                <c:pt idx="7">
                  <c:v>0.124027223608708</c:v>
                </c:pt>
                <c:pt idx="8">
                  <c:v>0.0217708348915885</c:v>
                </c:pt>
                <c:pt idx="9">
                  <c:v>0.0498719611391278</c:v>
                </c:pt>
                <c:pt idx="10">
                  <c:v>0.11048937709309</c:v>
                </c:pt>
                <c:pt idx="11">
                  <c:v>-0.0179270522350586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'계절평균(월별등락률)'!B23</c:f>
              <c:strCache>
                <c:ptCount val="1"/>
                <c:pt idx="0">
                  <c:v>양파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'계절평균(월별등락률)'!$C$23:$N$23</c:f>
              <c:numCache>
                <c:formatCode>0.0%</c:formatCode>
                <c:ptCount val="12"/>
                <c:pt idx="0">
                  <c:v>-0.00182078821643819</c:v>
                </c:pt>
                <c:pt idx="1">
                  <c:v>0.00543994942093741</c:v>
                </c:pt>
                <c:pt idx="2">
                  <c:v>0.0158933842701308</c:v>
                </c:pt>
                <c:pt idx="3">
                  <c:v>-0.137726023264172</c:v>
                </c:pt>
                <c:pt idx="4">
                  <c:v>-0.165192243391763</c:v>
                </c:pt>
                <c:pt idx="5">
                  <c:v>0.116593368589487</c:v>
                </c:pt>
                <c:pt idx="6">
                  <c:v>0.113301831520381</c:v>
                </c:pt>
                <c:pt idx="7">
                  <c:v>0.113431473591821</c:v>
                </c:pt>
                <c:pt idx="8">
                  <c:v>0.00962925066007665</c:v>
                </c:pt>
                <c:pt idx="9">
                  <c:v>-0.0128187645349311</c:v>
                </c:pt>
                <c:pt idx="10">
                  <c:v>0.0122096578795142</c:v>
                </c:pt>
                <c:pt idx="11">
                  <c:v>-0.0140567793270102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'계절평균(월별등락률)'!B24</c:f>
              <c:strCache>
                <c:ptCount val="1"/>
                <c:pt idx="0">
                  <c:v>생강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'계절평균(월별등락률)'!$C$24:$N$24</c:f>
              <c:numCache>
                <c:formatCode>0.0%</c:formatCode>
                <c:ptCount val="12"/>
                <c:pt idx="0">
                  <c:v>0.00530116069221087</c:v>
                </c:pt>
                <c:pt idx="1">
                  <c:v>0.0231173227032515</c:v>
                </c:pt>
                <c:pt idx="2">
                  <c:v>0.0120279563745725</c:v>
                </c:pt>
                <c:pt idx="3">
                  <c:v>-0.00491220640749853</c:v>
                </c:pt>
                <c:pt idx="4">
                  <c:v>0.0142405714372543</c:v>
                </c:pt>
                <c:pt idx="5">
                  <c:v>9.65814251118857E-005</c:v>
                </c:pt>
                <c:pt idx="6">
                  <c:v>-0.00395972774805873</c:v>
                </c:pt>
                <c:pt idx="7">
                  <c:v>0.0199548481751244</c:v>
                </c:pt>
                <c:pt idx="8">
                  <c:v>0.0865862721025596</c:v>
                </c:pt>
                <c:pt idx="9">
                  <c:v>-0.1228524680401</c:v>
                </c:pt>
                <c:pt idx="10">
                  <c:v>-0.00377481767191434</c:v>
                </c:pt>
                <c:pt idx="11">
                  <c:v>0.0571574283547042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'계절평균(월별등락률)'!B25</c:f>
              <c:strCache>
                <c:ptCount val="1"/>
                <c:pt idx="0">
                  <c:v>버섯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circle"/>
            <c:size val="5"/>
            <c:spPr>
              <a:solidFill>
                <a:srgbClr val="a596b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'계절평균(월별등락률)'!$C$25:$N$25</c:f>
              <c:numCache>
                <c:formatCode>0.0%</c:formatCode>
                <c:ptCount val="12"/>
                <c:pt idx="0">
                  <c:v>0.106718360261251</c:v>
                </c:pt>
                <c:pt idx="1">
                  <c:v>-0.0481679622363131</c:v>
                </c:pt>
                <c:pt idx="2">
                  <c:v>-0.0580599304204284</c:v>
                </c:pt>
                <c:pt idx="3">
                  <c:v>-0.0286826242436336</c:v>
                </c:pt>
                <c:pt idx="4">
                  <c:v>0.0402600443353112</c:v>
                </c:pt>
                <c:pt idx="5">
                  <c:v>-0.0258258619035596</c:v>
                </c:pt>
                <c:pt idx="6">
                  <c:v>-0.0481729179958326</c:v>
                </c:pt>
                <c:pt idx="7">
                  <c:v>0.100038168034301</c:v>
                </c:pt>
                <c:pt idx="8">
                  <c:v>0.123411903741527</c:v>
                </c:pt>
                <c:pt idx="9">
                  <c:v>-0.086318154791718</c:v>
                </c:pt>
                <c:pt idx="10">
                  <c:v>-0.0118721455958356</c:v>
                </c:pt>
                <c:pt idx="11">
                  <c:v>0.0766015013506413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'계절평균(월별등락률)'!B26</c:f>
              <c:strCache>
                <c:ptCount val="1"/>
                <c:pt idx="0">
                  <c:v>피망</c:v>
                </c:pt>
              </c:strCache>
            </c:strRef>
          </c:tx>
          <c:spPr>
            <a:solidFill>
              <a:srgbClr val="8cbfd2"/>
            </a:solidFill>
            <a:ln w="28440">
              <a:solidFill>
                <a:srgbClr val="8cbfd2"/>
              </a:solidFill>
              <a:round/>
            </a:ln>
          </c:spPr>
          <c:marker>
            <c:symbol val="circle"/>
            <c:size val="5"/>
            <c:spPr>
              <a:solidFill>
                <a:srgbClr val="8cbfd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'계절평균(월별등락률)'!$C$26:$N$26</c:f>
              <c:numCache>
                <c:formatCode>0.0%</c:formatCode>
                <c:ptCount val="12"/>
                <c:pt idx="0">
                  <c:v>0.893300712536288</c:v>
                </c:pt>
                <c:pt idx="1">
                  <c:v>0.164025332145858</c:v>
                </c:pt>
                <c:pt idx="2">
                  <c:v>-0.228243979747641</c:v>
                </c:pt>
                <c:pt idx="3">
                  <c:v>-0.251892474723072</c:v>
                </c:pt>
                <c:pt idx="4">
                  <c:v>-0.195211969039238</c:v>
                </c:pt>
                <c:pt idx="5">
                  <c:v>0.15049232547907</c:v>
                </c:pt>
                <c:pt idx="6">
                  <c:v>-0.346899136618189</c:v>
                </c:pt>
                <c:pt idx="7">
                  <c:v>0.206666962955592</c:v>
                </c:pt>
                <c:pt idx="8">
                  <c:v>0.697848696297651</c:v>
                </c:pt>
                <c:pt idx="9">
                  <c:v>-0.107146641252294</c:v>
                </c:pt>
                <c:pt idx="10">
                  <c:v>0.138828980343137</c:v>
                </c:pt>
                <c:pt idx="11">
                  <c:v>0.0584781928618006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'계절평균(월별등락률)'!B27</c:f>
              <c:strCache>
                <c:ptCount val="1"/>
                <c:pt idx="0">
                  <c:v>양배추</c:v>
                </c:pt>
              </c:strCache>
            </c:strRef>
          </c:tx>
          <c:spPr>
            <a:solidFill>
              <a:srgbClr val="f5b089"/>
            </a:solidFill>
            <a:ln w="28440">
              <a:solidFill>
                <a:srgbClr val="f5b089"/>
              </a:solidFill>
              <a:round/>
            </a:ln>
          </c:spPr>
          <c:marker>
            <c:symbol val="circle"/>
            <c:size val="5"/>
            <c:spPr>
              <a:solidFill>
                <a:srgbClr val="f5b08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'계절평균(월별등락률)'!$C$27:$N$27</c:f>
              <c:numCache>
                <c:formatCode>0.0%</c:formatCode>
                <c:ptCount val="12"/>
                <c:pt idx="0">
                  <c:v>0.0627947102163622</c:v>
                </c:pt>
                <c:pt idx="1">
                  <c:v>0.122755265586226</c:v>
                </c:pt>
                <c:pt idx="2">
                  <c:v>0.022277849911932</c:v>
                </c:pt>
                <c:pt idx="3">
                  <c:v>0.0554842131008964</c:v>
                </c:pt>
                <c:pt idx="4">
                  <c:v>0.0303567642875551</c:v>
                </c:pt>
                <c:pt idx="5">
                  <c:v>-0.347550253907305</c:v>
                </c:pt>
                <c:pt idx="6">
                  <c:v>-0.0620430563644653</c:v>
                </c:pt>
                <c:pt idx="7">
                  <c:v>0.442368509450049</c:v>
                </c:pt>
                <c:pt idx="8">
                  <c:v>0.0131141293473222</c:v>
                </c:pt>
                <c:pt idx="9">
                  <c:v>0.0519940388957812</c:v>
                </c:pt>
                <c:pt idx="10">
                  <c:v>-0.0565458951678027</c:v>
                </c:pt>
                <c:pt idx="11">
                  <c:v>-0.0324309023789699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542126"/>
        <c:axId val="40763625"/>
      </c:lineChart>
      <c:catAx>
        <c:axId val="48542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63625"/>
        <c:crosses val="autoZero"/>
        <c:auto val="1"/>
        <c:lblAlgn val="ctr"/>
        <c:lblOffset val="100"/>
        <c:noMultiLvlLbl val="0"/>
      </c:catAx>
      <c:valAx>
        <c:axId val="40763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42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과실류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'계절평균(월별등락률)'!B28</c:f>
              <c:strCache>
                <c:ptCount val="1"/>
                <c:pt idx="0">
                  <c:v>사과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'계절평균(월별등락률)'!$C$28:$N$28</c:f>
              <c:numCache>
                <c:formatCode>0.0%</c:formatCode>
                <c:ptCount val="12"/>
                <c:pt idx="0">
                  <c:v>0.100047019527493</c:v>
                </c:pt>
                <c:pt idx="1">
                  <c:v>0.0168851400285858</c:v>
                </c:pt>
                <c:pt idx="2">
                  <c:v>-0.0436544202366411</c:v>
                </c:pt>
                <c:pt idx="3">
                  <c:v>0.0598654940363735</c:v>
                </c:pt>
                <c:pt idx="4">
                  <c:v>-0.00332236562712385</c:v>
                </c:pt>
                <c:pt idx="5">
                  <c:v>0.110907378923941</c:v>
                </c:pt>
                <c:pt idx="6">
                  <c:v>0.0379996111893753</c:v>
                </c:pt>
                <c:pt idx="7">
                  <c:v>-0.0330296237830727</c:v>
                </c:pt>
                <c:pt idx="8">
                  <c:v>-0.104390218942326</c:v>
                </c:pt>
                <c:pt idx="9">
                  <c:v>-0.0512312765097478</c:v>
                </c:pt>
                <c:pt idx="10">
                  <c:v>-0.0669167155291271</c:v>
                </c:pt>
                <c:pt idx="11">
                  <c:v>0.150034760635637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'계절평균(월별등락률)'!B29</c:f>
              <c:strCache>
                <c:ptCount val="1"/>
                <c:pt idx="0">
                  <c:v>배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'계절평균(월별등락률)'!$C$29:$N$29</c:f>
              <c:numCache>
                <c:formatCode>0.0%</c:formatCode>
                <c:ptCount val="12"/>
                <c:pt idx="0">
                  <c:v>0.104373304238756</c:v>
                </c:pt>
                <c:pt idx="1">
                  <c:v>0.0102638659517086</c:v>
                </c:pt>
                <c:pt idx="2">
                  <c:v>0.0294158466593755</c:v>
                </c:pt>
                <c:pt idx="3">
                  <c:v>0.0534759035444412</c:v>
                </c:pt>
                <c:pt idx="4">
                  <c:v>0.03834540086661</c:v>
                </c:pt>
                <c:pt idx="5">
                  <c:v>0.0887248790275607</c:v>
                </c:pt>
                <c:pt idx="6">
                  <c:v>0.0597940467852162</c:v>
                </c:pt>
                <c:pt idx="7">
                  <c:v>-0.165494726097464</c:v>
                </c:pt>
                <c:pt idx="8">
                  <c:v>-0.167721524358593</c:v>
                </c:pt>
                <c:pt idx="9">
                  <c:v>-0.0985549918715114</c:v>
                </c:pt>
                <c:pt idx="10">
                  <c:v>0.141408815572295</c:v>
                </c:pt>
                <c:pt idx="11">
                  <c:v>0.0942708241191346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'계절평균(월별등락률)'!B30</c:f>
              <c:strCache>
                <c:ptCount val="1"/>
                <c:pt idx="0">
                  <c:v>복숭아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'계절평균(월별등락률)'!$C$30:$N$30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0.0118817671092449</c:v>
                </c:pt>
                <c:pt idx="7">
                  <c:v>0.0251647017858933</c:v>
                </c:pt>
                <c:pt idx="8">
                  <c:v>0.0236932805081983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'계절평균(월별등락률)'!B31</c:f>
              <c:strCache>
                <c:ptCount val="1"/>
                <c:pt idx="0">
                  <c:v>포도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'계절평균(월별등락률)'!$C$31:$N$31</c:f>
              <c:numCache>
                <c:formatCode>0.0%</c:formatCode>
                <c:ptCount val="12"/>
                <c:pt idx="0">
                  <c:v>0.0628322056206968</c:v>
                </c:pt>
                <c:pt idx="1">
                  <c:v>0.0275873422972465</c:v>
                </c:pt>
                <c:pt idx="2">
                  <c:v>0.0191880451511125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0.491138302204769</c:v>
                </c:pt>
                <c:pt idx="7">
                  <c:v>-0.118576760501817</c:v>
                </c:pt>
                <c:pt idx="8">
                  <c:v>-0.146338085407178</c:v>
                </c:pt>
                <c:pt idx="9">
                  <c:v>-0.144021067969536</c:v>
                </c:pt>
                <c:pt idx="10">
                  <c:v>0.00513697775028303</c:v>
                </c:pt>
                <c:pt idx="11">
                  <c:v>0.00555657843834387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'계절평균(월별등락률)'!B32</c:f>
              <c:strCache>
                <c:ptCount val="1"/>
                <c:pt idx="0">
                  <c:v>감귤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'계절평균(월별등락률)'!$C$32:$N$32</c:f>
              <c:numCache>
                <c:formatCode>0.0%</c:formatCode>
                <c:ptCount val="12"/>
                <c:pt idx="0">
                  <c:v>0.16743197727761</c:v>
                </c:pt>
                <c:pt idx="1">
                  <c:v>0.0644214579372736</c:v>
                </c:pt>
                <c:pt idx="2">
                  <c:v>-0.016083156790758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-0.182876296935458</c:v>
                </c:pt>
                <c:pt idx="10">
                  <c:v>0.0763773466259922</c:v>
                </c:pt>
                <c:pt idx="11">
                  <c:v>0.120462746195708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'계절평균(월별등락률)'!B33</c:f>
              <c:strCache>
                <c:ptCount val="1"/>
                <c:pt idx="0">
                  <c:v>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5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'계절평균(월별등락률)'!$C$33:$N$33</c:f>
              <c:numCache>
                <c:formatCode>0.0%</c:formatCode>
                <c:ptCount val="12"/>
                <c:pt idx="0">
                  <c:v>0.0191437027223608</c:v>
                </c:pt>
                <c:pt idx="1">
                  <c:v>0.0830662089235464</c:v>
                </c:pt>
                <c:pt idx="2">
                  <c:v>0.0490558192499255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-0.183949209684643</c:v>
                </c:pt>
                <c:pt idx="10">
                  <c:v>-0.119056399641562</c:v>
                </c:pt>
                <c:pt idx="11">
                  <c:v>0.191092906913444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890152"/>
        <c:axId val="32400108"/>
      </c:lineChart>
      <c:catAx>
        <c:axId val="23890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00108"/>
        <c:crosses val="autoZero"/>
        <c:auto val="1"/>
        <c:lblAlgn val="ctr"/>
        <c:lblOffset val="100"/>
        <c:noMultiLvlLbl val="0"/>
      </c:catAx>
      <c:valAx>
        <c:axId val="32400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90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축산물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'계절평균(월별등락률)'!B34</c:f>
              <c:strCache>
                <c:ptCount val="1"/>
                <c:pt idx="0">
                  <c:v>쇠고기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'계절평균(월별등락률)'!$C$34:$N$34</c:f>
              <c:numCache>
                <c:formatCode>0.0%</c:formatCode>
                <c:ptCount val="12"/>
                <c:pt idx="0">
                  <c:v>0.0112052237652608</c:v>
                </c:pt>
                <c:pt idx="1">
                  <c:v>-0.0272256675920772</c:v>
                </c:pt>
                <c:pt idx="2">
                  <c:v>-0.0193171195250643</c:v>
                </c:pt>
                <c:pt idx="3">
                  <c:v>-0.00939894629936972</c:v>
                </c:pt>
                <c:pt idx="4">
                  <c:v>-0.00889519892753005</c:v>
                </c:pt>
                <c:pt idx="5">
                  <c:v>0.00956341525142237</c:v>
                </c:pt>
                <c:pt idx="6">
                  <c:v>0.00550454732013328</c:v>
                </c:pt>
                <c:pt idx="7">
                  <c:v>0.0756856703703335</c:v>
                </c:pt>
                <c:pt idx="8">
                  <c:v>0.0756844218798384</c:v>
                </c:pt>
                <c:pt idx="9">
                  <c:v>-0.0525388064036831</c:v>
                </c:pt>
                <c:pt idx="10">
                  <c:v>-0.0235481311438678</c:v>
                </c:pt>
                <c:pt idx="11">
                  <c:v>-0.0189963074524649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'계절평균(월별등락률)'!B35</c:f>
              <c:strCache>
                <c:ptCount val="1"/>
                <c:pt idx="0">
                  <c:v>돼지고기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'계절평균(월별등락률)'!$C$35:$N$35</c:f>
              <c:numCache>
                <c:formatCode>0.0%</c:formatCode>
                <c:ptCount val="12"/>
                <c:pt idx="0">
                  <c:v>-0.0630389174747507</c:v>
                </c:pt>
                <c:pt idx="1">
                  <c:v>-0.0580123071292616</c:v>
                </c:pt>
                <c:pt idx="2">
                  <c:v>0.0576299589977532</c:v>
                </c:pt>
                <c:pt idx="3">
                  <c:v>0.12895876630561</c:v>
                </c:pt>
                <c:pt idx="4">
                  <c:v>0.0662322112677898</c:v>
                </c:pt>
                <c:pt idx="5">
                  <c:v>0.0462279768456234</c:v>
                </c:pt>
                <c:pt idx="6">
                  <c:v>-0.00706485786555424</c:v>
                </c:pt>
                <c:pt idx="7">
                  <c:v>0.0450960288331345</c:v>
                </c:pt>
                <c:pt idx="8">
                  <c:v>0.0504806034519525</c:v>
                </c:pt>
                <c:pt idx="9">
                  <c:v>-0.140216784150857</c:v>
                </c:pt>
                <c:pt idx="10">
                  <c:v>-0.00809007874250327</c:v>
                </c:pt>
                <c:pt idx="11">
                  <c:v>-0.0142931086546769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'계절평균(월별등락률)'!B36</c:f>
              <c:strCache>
                <c:ptCount val="1"/>
                <c:pt idx="0">
                  <c:v>닭고기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'계절평균(월별등락률)'!$C$36:$N$36</c:f>
              <c:numCache>
                <c:formatCode>0.0%</c:formatCode>
                <c:ptCount val="12"/>
                <c:pt idx="0">
                  <c:v>0.00695092181486117</c:v>
                </c:pt>
                <c:pt idx="1">
                  <c:v>0.037378426749558</c:v>
                </c:pt>
                <c:pt idx="2">
                  <c:v>0.0259182851481705</c:v>
                </c:pt>
                <c:pt idx="3">
                  <c:v>0.00364247852455912</c:v>
                </c:pt>
                <c:pt idx="4">
                  <c:v>-0.0104531165685092</c:v>
                </c:pt>
                <c:pt idx="5">
                  <c:v>-0.0218363074856301</c:v>
                </c:pt>
                <c:pt idx="6">
                  <c:v>0.0682312460529784</c:v>
                </c:pt>
                <c:pt idx="7">
                  <c:v>-0.021743544997722</c:v>
                </c:pt>
                <c:pt idx="8">
                  <c:v>-0.0521454064212094</c:v>
                </c:pt>
                <c:pt idx="9">
                  <c:v>0.00642921335153903</c:v>
                </c:pt>
                <c:pt idx="10">
                  <c:v>-0.0258679607649773</c:v>
                </c:pt>
                <c:pt idx="11">
                  <c:v>0.0669666742221363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'계절평균(월별등락률)'!B37</c:f>
              <c:strCache>
                <c:ptCount val="1"/>
                <c:pt idx="0">
                  <c:v>오리고기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'계절평균(월별등락률)'!$C$37:$N$37</c:f>
              <c:numCache>
                <c:formatCode>0.0%</c:formatCode>
                <c:ptCount val="12"/>
                <c:pt idx="0">
                  <c:v>0.0487527338155577</c:v>
                </c:pt>
                <c:pt idx="1">
                  <c:v>0.0257813242619723</c:v>
                </c:pt>
                <c:pt idx="2">
                  <c:v>0.0548906546565153</c:v>
                </c:pt>
                <c:pt idx="3">
                  <c:v>-0.0206552754386267</c:v>
                </c:pt>
                <c:pt idx="4">
                  <c:v>-0.0752727408980349</c:v>
                </c:pt>
                <c:pt idx="5">
                  <c:v>-0.0522124738286698</c:v>
                </c:pt>
                <c:pt idx="6">
                  <c:v>0.00358101263985471</c:v>
                </c:pt>
                <c:pt idx="7">
                  <c:v>0.0105337643794436</c:v>
                </c:pt>
                <c:pt idx="8">
                  <c:v>-0.0284728400957005</c:v>
                </c:pt>
                <c:pt idx="9">
                  <c:v>-0.0113159650715754</c:v>
                </c:pt>
                <c:pt idx="10">
                  <c:v>0.0110466057619952</c:v>
                </c:pt>
                <c:pt idx="11">
                  <c:v>0.0224920041948549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'계절평균(월별등락률)'!B38</c:f>
              <c:strCache>
                <c:ptCount val="1"/>
                <c:pt idx="0">
                  <c:v>달걀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'계절평균(월별등락률)'!$C$38:$N$38</c:f>
              <c:numCache>
                <c:formatCode>0.0%</c:formatCode>
                <c:ptCount val="12"/>
                <c:pt idx="0">
                  <c:v>-0.0123745606334963</c:v>
                </c:pt>
                <c:pt idx="1">
                  <c:v>-0.00965386025013019</c:v>
                </c:pt>
                <c:pt idx="2">
                  <c:v>0.0271254969369605</c:v>
                </c:pt>
                <c:pt idx="3">
                  <c:v>0.0520253825536028</c:v>
                </c:pt>
                <c:pt idx="4">
                  <c:v>0.0501188096644957</c:v>
                </c:pt>
                <c:pt idx="5">
                  <c:v>0.0111115839707725</c:v>
                </c:pt>
                <c:pt idx="6">
                  <c:v>-0.0157583347725986</c:v>
                </c:pt>
                <c:pt idx="7">
                  <c:v>-0.0224001037036928</c:v>
                </c:pt>
                <c:pt idx="8">
                  <c:v>0.00981268929018286</c:v>
                </c:pt>
                <c:pt idx="9">
                  <c:v>-0.0370607968169241</c:v>
                </c:pt>
                <c:pt idx="10">
                  <c:v>-0.00493358904491854</c:v>
                </c:pt>
                <c:pt idx="11">
                  <c:v>-0.00811471048755725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'계절평균(월별등락률)'!B39</c:f>
              <c:strCache>
                <c:ptCount val="1"/>
                <c:pt idx="0">
                  <c:v>벌꿀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5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'계절평균(월별등락률)'!$C$39:$N$39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0.032908039069532</c:v>
                </c:pt>
                <c:pt idx="6">
                  <c:v>-0.00462293106767273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580783"/>
        <c:axId val="77683936"/>
      </c:lineChart>
      <c:catAx>
        <c:axId val="625807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83936"/>
        <c:crosses val="autoZero"/>
        <c:auto val="1"/>
        <c:lblAlgn val="ctr"/>
        <c:lblOffset val="100"/>
        <c:noMultiLvlLbl val="0"/>
      </c:catAx>
      <c:valAx>
        <c:axId val="77683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807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임산물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'계절평균(월별등락률)'!B40</c:f>
              <c:strCache>
                <c:ptCount val="1"/>
                <c:pt idx="0">
                  <c:v>원목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'계절평균(월별등락률)'!$C$40:$N$40</c:f>
              <c:numCache>
                <c:formatCode>0.0%</c:formatCode>
                <c:ptCount val="12"/>
                <c:pt idx="0">
                  <c:v>-0.00351444891411878</c:v>
                </c:pt>
                <c:pt idx="1">
                  <c:v>0</c:v>
                </c:pt>
                <c:pt idx="2">
                  <c:v>0.0107437477583227</c:v>
                </c:pt>
                <c:pt idx="3">
                  <c:v>0.000106944307253831</c:v>
                </c:pt>
                <c:pt idx="4">
                  <c:v>0.000611558454795621</c:v>
                </c:pt>
                <c:pt idx="5">
                  <c:v>0.00387796360963062</c:v>
                </c:pt>
                <c:pt idx="6">
                  <c:v>-0.000838405147602606</c:v>
                </c:pt>
                <c:pt idx="7">
                  <c:v>0</c:v>
                </c:pt>
                <c:pt idx="8">
                  <c:v>0</c:v>
                </c:pt>
                <c:pt idx="9">
                  <c:v>-0.0073948537771017</c:v>
                </c:pt>
                <c:pt idx="10">
                  <c:v>0.00417415618134611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'계절평균(월별등락률)'!B41</c:f>
              <c:strCache>
                <c:ptCount val="1"/>
                <c:pt idx="0">
                  <c:v>산나물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'계절평균(월별등락률)'!$C$41:$N$41</c:f>
              <c:numCache>
                <c:formatCode>0.0%</c:formatCode>
                <c:ptCount val="12"/>
                <c:pt idx="0">
                  <c:v>0.2793163941741</c:v>
                </c:pt>
                <c:pt idx="1">
                  <c:v>-0.0393769911452846</c:v>
                </c:pt>
                <c:pt idx="2">
                  <c:v>-0.109736397011147</c:v>
                </c:pt>
                <c:pt idx="3">
                  <c:v>-0.124024513194344</c:v>
                </c:pt>
                <c:pt idx="4">
                  <c:v>0.0719668247120488</c:v>
                </c:pt>
                <c:pt idx="5">
                  <c:v>-0.107231636272709</c:v>
                </c:pt>
                <c:pt idx="6">
                  <c:v>0.569860914699979</c:v>
                </c:pt>
                <c:pt idx="7">
                  <c:v>0.514158644093676</c:v>
                </c:pt>
                <c:pt idx="8">
                  <c:v>0.0850357519470128</c:v>
                </c:pt>
                <c:pt idx="9">
                  <c:v>-0.478344643790357</c:v>
                </c:pt>
                <c:pt idx="10">
                  <c:v>-0.286053703139393</c:v>
                </c:pt>
                <c:pt idx="11">
                  <c:v>0.394410459548037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'계절평균(월별등락률)'!B42</c:f>
              <c:strCache>
                <c:ptCount val="1"/>
                <c:pt idx="0">
                  <c:v>밤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'계절평균(월별등락률)'!$C$42:$N$42</c:f>
              <c:numCache>
                <c:formatCode>0.0%</c:formatCode>
                <c:ptCount val="12"/>
                <c:pt idx="0">
                  <c:v>0.0715323533637299</c:v>
                </c:pt>
                <c:pt idx="1">
                  <c:v>-0.0175763782199708</c:v>
                </c:pt>
                <c:pt idx="2">
                  <c:v>0.0261662858411094</c:v>
                </c:pt>
                <c:pt idx="3">
                  <c:v>0.036821790536506</c:v>
                </c:pt>
                <c:pt idx="4">
                  <c:v>-0.0311370677617907</c:v>
                </c:pt>
                <c:pt idx="5">
                  <c:v>0.0334496735302972</c:v>
                </c:pt>
                <c:pt idx="6">
                  <c:v>0</c:v>
                </c:pt>
                <c:pt idx="7">
                  <c:v>0</c:v>
                </c:pt>
                <c:pt idx="8">
                  <c:v>-0.10705511716019</c:v>
                </c:pt>
                <c:pt idx="9">
                  <c:v>-0.0289429963995461</c:v>
                </c:pt>
                <c:pt idx="10">
                  <c:v>0.0393600739671854</c:v>
                </c:pt>
                <c:pt idx="11">
                  <c:v>0.00275312482731354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537586"/>
        <c:axId val="60042505"/>
      </c:lineChart>
      <c:catAx>
        <c:axId val="125375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42505"/>
        <c:crosses val="autoZero"/>
        <c:auto val="1"/>
        <c:lblAlgn val="ctr"/>
        <c:lblOffset val="100"/>
        <c:noMultiLvlLbl val="0"/>
      </c:catAx>
      <c:valAx>
        <c:axId val="60042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37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수산물(생물)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'계절평균(월별등락률)'!B43</c:f>
              <c:strCache>
                <c:ptCount val="1"/>
                <c:pt idx="0">
                  <c:v>가자미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'계절평균(월별등락률)'!$C$43:$N$43</c:f>
              <c:numCache>
                <c:formatCode>0.0%</c:formatCode>
                <c:ptCount val="12"/>
                <c:pt idx="0">
                  <c:v>0.178628375727064</c:v>
                </c:pt>
                <c:pt idx="1">
                  <c:v>-0.0822622589005484</c:v>
                </c:pt>
                <c:pt idx="2">
                  <c:v>-0.0724190114740312</c:v>
                </c:pt>
                <c:pt idx="3">
                  <c:v>0.0193195172456199</c:v>
                </c:pt>
                <c:pt idx="4">
                  <c:v>-0.172263274336983</c:v>
                </c:pt>
                <c:pt idx="5">
                  <c:v>0.0834304209434557</c:v>
                </c:pt>
                <c:pt idx="6">
                  <c:v>0.273116128804816</c:v>
                </c:pt>
                <c:pt idx="7">
                  <c:v>0.074294199102656</c:v>
                </c:pt>
                <c:pt idx="8">
                  <c:v>0.00819970928498652</c:v>
                </c:pt>
                <c:pt idx="9">
                  <c:v>0.037135093429399</c:v>
                </c:pt>
                <c:pt idx="10">
                  <c:v>-0.0513787609351781</c:v>
                </c:pt>
                <c:pt idx="11">
                  <c:v>0.069398353980525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'계절평균(월별등락률)'!B44</c:f>
              <c:strCache>
                <c:ptCount val="1"/>
                <c:pt idx="0">
                  <c:v>넙치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'계절평균(월별등락률)'!$C$44:$N$44</c:f>
              <c:numCache>
                <c:formatCode>0.0%</c:formatCode>
                <c:ptCount val="12"/>
                <c:pt idx="0">
                  <c:v>-0.0359745588111583</c:v>
                </c:pt>
                <c:pt idx="1">
                  <c:v>-0.0309889040509655</c:v>
                </c:pt>
                <c:pt idx="2">
                  <c:v>-0.011860520306907</c:v>
                </c:pt>
                <c:pt idx="3">
                  <c:v>-0.00621824432496474</c:v>
                </c:pt>
                <c:pt idx="4">
                  <c:v>-0.00629046008773909</c:v>
                </c:pt>
                <c:pt idx="5">
                  <c:v>0.0775793963802482</c:v>
                </c:pt>
                <c:pt idx="6">
                  <c:v>0.0194614886826195</c:v>
                </c:pt>
                <c:pt idx="7">
                  <c:v>0.00698586452256882</c:v>
                </c:pt>
                <c:pt idx="8">
                  <c:v>0.0293213800194981</c:v>
                </c:pt>
                <c:pt idx="9">
                  <c:v>0.0307043186223151</c:v>
                </c:pt>
                <c:pt idx="10">
                  <c:v>0.0101587331264638</c:v>
                </c:pt>
                <c:pt idx="11">
                  <c:v>-0.0109026107219446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'계절평균(월별등락률)'!B45</c:f>
              <c:strCache>
                <c:ptCount val="1"/>
                <c:pt idx="0">
                  <c:v>조기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'계절평균(월별등락률)'!$C$45:$N$45</c:f>
              <c:numCache>
                <c:formatCode>0.0%</c:formatCode>
                <c:ptCount val="12"/>
                <c:pt idx="0">
                  <c:v>0.235687137324728</c:v>
                </c:pt>
                <c:pt idx="1">
                  <c:v>0.0907700085085167</c:v>
                </c:pt>
                <c:pt idx="2">
                  <c:v>0.0805669488423289</c:v>
                </c:pt>
                <c:pt idx="3">
                  <c:v>-0.0798707628495805</c:v>
                </c:pt>
                <c:pt idx="4">
                  <c:v>-0.037851630533207</c:v>
                </c:pt>
                <c:pt idx="5">
                  <c:v>-0.111057135138403</c:v>
                </c:pt>
                <c:pt idx="6">
                  <c:v>0.00431160019699965</c:v>
                </c:pt>
                <c:pt idx="7">
                  <c:v>0.516970196013653</c:v>
                </c:pt>
                <c:pt idx="8">
                  <c:v>0.229784929144484</c:v>
                </c:pt>
                <c:pt idx="9">
                  <c:v>-0.120226121134788</c:v>
                </c:pt>
                <c:pt idx="10">
                  <c:v>-0.0867211306319378</c:v>
                </c:pt>
                <c:pt idx="11">
                  <c:v>0.0304572942049692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'계절평균(월별등락률)'!B46</c:f>
              <c:strCache>
                <c:ptCount val="1"/>
                <c:pt idx="0">
                  <c:v>갈치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'계절평균(월별등락률)'!$C$46:$N$46</c:f>
              <c:numCache>
                <c:formatCode>0.0%</c:formatCode>
                <c:ptCount val="12"/>
                <c:pt idx="0">
                  <c:v>0.0521409299602532</c:v>
                </c:pt>
                <c:pt idx="1">
                  <c:v>0.021848494418254</c:v>
                </c:pt>
                <c:pt idx="2">
                  <c:v>0.0068570455959676</c:v>
                </c:pt>
                <c:pt idx="3">
                  <c:v>0.0293606778664815</c:v>
                </c:pt>
                <c:pt idx="4">
                  <c:v>0.022250823799834</c:v>
                </c:pt>
                <c:pt idx="5">
                  <c:v>0.0295164691878208</c:v>
                </c:pt>
                <c:pt idx="6">
                  <c:v>-0.021061311589125</c:v>
                </c:pt>
                <c:pt idx="7">
                  <c:v>-0.015164072844057</c:v>
                </c:pt>
                <c:pt idx="8">
                  <c:v>0.0223182616403953</c:v>
                </c:pt>
                <c:pt idx="9">
                  <c:v>-0.0373229857804237</c:v>
                </c:pt>
                <c:pt idx="10">
                  <c:v>-0.0452435690102543</c:v>
                </c:pt>
                <c:pt idx="11">
                  <c:v>0.0243031029771155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'계절평균(월별등락률)'!B47</c:f>
              <c:strCache>
                <c:ptCount val="1"/>
                <c:pt idx="0">
                  <c:v>고등어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'계절평균(월별등락률)'!$C$47:$N$47</c:f>
              <c:numCache>
                <c:formatCode>0.0%</c:formatCode>
                <c:ptCount val="12"/>
                <c:pt idx="0">
                  <c:v>0.0272672595611896</c:v>
                </c:pt>
                <c:pt idx="1">
                  <c:v>0.0368963649020404</c:v>
                </c:pt>
                <c:pt idx="2">
                  <c:v>-0.0463128788577748</c:v>
                </c:pt>
                <c:pt idx="3">
                  <c:v>-0.0747237342143509</c:v>
                </c:pt>
                <c:pt idx="4">
                  <c:v>0.0952969635067581</c:v>
                </c:pt>
                <c:pt idx="5">
                  <c:v>-0.162656903826987</c:v>
                </c:pt>
                <c:pt idx="6">
                  <c:v>0.0397524588944562</c:v>
                </c:pt>
                <c:pt idx="7">
                  <c:v>0.0279713178248773</c:v>
                </c:pt>
                <c:pt idx="8">
                  <c:v>0.0349824156572486</c:v>
                </c:pt>
                <c:pt idx="9">
                  <c:v>0.0185243440951982</c:v>
                </c:pt>
                <c:pt idx="10">
                  <c:v>0.113280004729268</c:v>
                </c:pt>
                <c:pt idx="11">
                  <c:v>0.0275887233638739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'계절평균(월별등락률)'!B48</c:f>
              <c:strCache>
                <c:ptCount val="1"/>
                <c:pt idx="0">
                  <c:v>조피볼락(우럭)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'계절평균(월별등락률)'!$C$48:$N$48</c:f>
              <c:numCache>
                <c:formatCode>0.0%</c:formatCode>
                <c:ptCount val="12"/>
                <c:pt idx="0">
                  <c:v>0.0235942635577764</c:v>
                </c:pt>
                <c:pt idx="1">
                  <c:v>0.0478046262925655</c:v>
                </c:pt>
                <c:pt idx="2">
                  <c:v>-0.0735507811073358</c:v>
                </c:pt>
                <c:pt idx="3">
                  <c:v>0.00275280879007495</c:v>
                </c:pt>
                <c:pt idx="4">
                  <c:v>-0.00115005530997843</c:v>
                </c:pt>
                <c:pt idx="5">
                  <c:v>0.0812638163823549</c:v>
                </c:pt>
                <c:pt idx="6">
                  <c:v>-0.0211814556737673</c:v>
                </c:pt>
                <c:pt idx="7">
                  <c:v>-0.0502851484541448</c:v>
                </c:pt>
                <c:pt idx="8">
                  <c:v>0.0219574360369859</c:v>
                </c:pt>
                <c:pt idx="9">
                  <c:v>0.104185650083643</c:v>
                </c:pt>
                <c:pt idx="10">
                  <c:v>-0.0147574423101124</c:v>
                </c:pt>
                <c:pt idx="11">
                  <c:v>-0.0205385227700408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'계절평균(월별등락률)'!B49</c:f>
              <c:strCache>
                <c:ptCount val="1"/>
                <c:pt idx="0">
                  <c:v>기타어류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'계절평균(월별등락률)'!$C$49:$N$49</c:f>
              <c:numCache>
                <c:formatCode>0.0%</c:formatCode>
                <c:ptCount val="12"/>
                <c:pt idx="0">
                  <c:v>-0.012002703110147</c:v>
                </c:pt>
                <c:pt idx="1">
                  <c:v>0.0231344569413713</c:v>
                </c:pt>
                <c:pt idx="2">
                  <c:v>-0.0192510872364277</c:v>
                </c:pt>
                <c:pt idx="3">
                  <c:v>-0.115089745262453</c:v>
                </c:pt>
                <c:pt idx="4">
                  <c:v>0.0880196823033717</c:v>
                </c:pt>
                <c:pt idx="5">
                  <c:v>0.128534618576289</c:v>
                </c:pt>
                <c:pt idx="6">
                  <c:v>0.0191897703212793</c:v>
                </c:pt>
                <c:pt idx="7">
                  <c:v>-0.039919072565643</c:v>
                </c:pt>
                <c:pt idx="8">
                  <c:v>-0.142094816201456</c:v>
                </c:pt>
                <c:pt idx="9">
                  <c:v>-0.00327399916807214</c:v>
                </c:pt>
                <c:pt idx="10">
                  <c:v>0.184864570015227</c:v>
                </c:pt>
                <c:pt idx="11">
                  <c:v>0.0715552602999042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'계절평균(월별등락률)'!B50</c:f>
              <c:strCache>
                <c:ptCount val="1"/>
                <c:pt idx="0">
                  <c:v>멸치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'계절평균(월별등락률)'!$C$50:$N$50</c:f>
              <c:numCache>
                <c:formatCode>0.0%</c:formatCode>
                <c:ptCount val="12"/>
                <c:pt idx="0">
                  <c:v>0.0175007537894617</c:v>
                </c:pt>
                <c:pt idx="1">
                  <c:v>0.00939308583640736</c:v>
                </c:pt>
                <c:pt idx="2">
                  <c:v>0.103612062749745</c:v>
                </c:pt>
                <c:pt idx="3">
                  <c:v>0.115546063980539</c:v>
                </c:pt>
                <c:pt idx="4">
                  <c:v>0.030460129990884</c:v>
                </c:pt>
                <c:pt idx="5">
                  <c:v>-0.108993831548745</c:v>
                </c:pt>
                <c:pt idx="6">
                  <c:v>-0.107382943710203</c:v>
                </c:pt>
                <c:pt idx="7">
                  <c:v>-0.0531872173059574</c:v>
                </c:pt>
                <c:pt idx="8">
                  <c:v>-0.031943818901565</c:v>
                </c:pt>
                <c:pt idx="9">
                  <c:v>0.0218370835827133</c:v>
                </c:pt>
                <c:pt idx="10">
                  <c:v>0.0743662362483426</c:v>
                </c:pt>
                <c:pt idx="11">
                  <c:v>0.0993658479113748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'계절평균(월별등락률)'!B51</c:f>
              <c:strCache>
                <c:ptCount val="1"/>
                <c:pt idx="0">
                  <c:v>게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'계절평균(월별등락률)'!$C$51:$N$51</c:f>
              <c:numCache>
                <c:formatCode>0.0%</c:formatCode>
                <c:ptCount val="12"/>
                <c:pt idx="0">
                  <c:v>0.171724599789251</c:v>
                </c:pt>
                <c:pt idx="1">
                  <c:v>0.113909579177487</c:v>
                </c:pt>
                <c:pt idx="2">
                  <c:v>0.0798710739703532</c:v>
                </c:pt>
                <c:pt idx="3">
                  <c:v>-0.0793226302411093</c:v>
                </c:pt>
                <c:pt idx="4">
                  <c:v>-0.0316645420923843</c:v>
                </c:pt>
                <c:pt idx="5">
                  <c:v>-0.0978270707740359</c:v>
                </c:pt>
                <c:pt idx="6">
                  <c:v>-0.0615857872227333</c:v>
                </c:pt>
                <c:pt idx="7">
                  <c:v>-0.358138015503302</c:v>
                </c:pt>
                <c:pt idx="8">
                  <c:v>0.0775785942073245</c:v>
                </c:pt>
                <c:pt idx="9">
                  <c:v>0.11024362400882</c:v>
                </c:pt>
                <c:pt idx="10">
                  <c:v>0.117430442319327</c:v>
                </c:pt>
                <c:pt idx="11">
                  <c:v>0.104789789527701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'계절평균(월별등락률)'!B52</c:f>
              <c:strCache>
                <c:ptCount val="1"/>
                <c:pt idx="0">
                  <c:v>새우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circle"/>
            <c:size val="5"/>
            <c:spPr>
              <a:solidFill>
                <a:srgbClr val="a596b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'계절평균(월별등락률)'!$C$52:$N$52</c:f>
              <c:numCache>
                <c:formatCode>0.0%</c:formatCode>
                <c:ptCount val="12"/>
                <c:pt idx="0">
                  <c:v>-0.0131230172405228</c:v>
                </c:pt>
                <c:pt idx="1">
                  <c:v>0.0346759584316738</c:v>
                </c:pt>
                <c:pt idx="2">
                  <c:v>-0.0757912103803122</c:v>
                </c:pt>
                <c:pt idx="3">
                  <c:v>-0.0518357669863858</c:v>
                </c:pt>
                <c:pt idx="4">
                  <c:v>0.141611412612516</c:v>
                </c:pt>
                <c:pt idx="5">
                  <c:v>-0.035647976301182</c:v>
                </c:pt>
                <c:pt idx="6">
                  <c:v>-0.0503032484879566</c:v>
                </c:pt>
                <c:pt idx="7">
                  <c:v>-0.0714522966993146</c:v>
                </c:pt>
                <c:pt idx="8">
                  <c:v>0.0468983146578203</c:v>
                </c:pt>
                <c:pt idx="9">
                  <c:v>0.0867787554669719</c:v>
                </c:pt>
                <c:pt idx="10">
                  <c:v>0.0394579916389846</c:v>
                </c:pt>
                <c:pt idx="11">
                  <c:v>0.103171624300988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596622"/>
        <c:axId val="61238419"/>
      </c:lineChart>
      <c:catAx>
        <c:axId val="425966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38419"/>
        <c:crosses val="autoZero"/>
        <c:auto val="1"/>
        <c:lblAlgn val="ctr"/>
        <c:lblOffset val="100"/>
        <c:noMultiLvlLbl val="0"/>
      </c:catAx>
      <c:valAx>
        <c:axId val="61238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96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수산물(가공) - 월별 평균 등락률(%)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'계절평균(월별등락률)'!B53</c:f>
              <c:strCache>
                <c:ptCount val="1"/>
                <c:pt idx="0">
                  <c:v>굴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'계절평균(월별등락률)'!$C$53:$N$53</c:f>
              <c:numCache>
                <c:formatCode>0.0%</c:formatCode>
                <c:ptCount val="12"/>
                <c:pt idx="0">
                  <c:v>-0.132557059023398</c:v>
                </c:pt>
                <c:pt idx="1">
                  <c:v>-0.0903442025959821</c:v>
                </c:pt>
                <c:pt idx="2">
                  <c:v>-0.0600102456429248</c:v>
                </c:pt>
                <c:pt idx="3">
                  <c:v>-0.0311039410538721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0.180297374241716</c:v>
                </c:pt>
                <c:pt idx="10">
                  <c:v>0.209095703946931</c:v>
                </c:pt>
                <c:pt idx="11">
                  <c:v>0.0210787284834957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'계절평균(월별등락률)'!B54</c:f>
              <c:strCache>
                <c:ptCount val="1"/>
                <c:pt idx="0">
                  <c:v>조개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'계절평균(월별등락률)'!$C$54:$N$54</c:f>
              <c:numCache>
                <c:formatCode>0.0%</c:formatCode>
                <c:ptCount val="12"/>
                <c:pt idx="0">
                  <c:v>0.125146485032083</c:v>
                </c:pt>
                <c:pt idx="1">
                  <c:v>0.0257679715757774</c:v>
                </c:pt>
                <c:pt idx="2">
                  <c:v>-0.112751554001568</c:v>
                </c:pt>
                <c:pt idx="3">
                  <c:v>0.0089859693825128</c:v>
                </c:pt>
                <c:pt idx="4">
                  <c:v>-0.10497072304132</c:v>
                </c:pt>
                <c:pt idx="5">
                  <c:v>-0.0729178127596423</c:v>
                </c:pt>
                <c:pt idx="6">
                  <c:v>0.0136738088650366</c:v>
                </c:pt>
                <c:pt idx="7">
                  <c:v>0.214380624397878</c:v>
                </c:pt>
                <c:pt idx="8">
                  <c:v>0.0566806078634834</c:v>
                </c:pt>
                <c:pt idx="9">
                  <c:v>0.135139872352053</c:v>
                </c:pt>
                <c:pt idx="10">
                  <c:v>-0.0947350217132841</c:v>
                </c:pt>
                <c:pt idx="11">
                  <c:v>0.00480157851904095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'계절평균(월별등락률)'!B55</c:f>
              <c:strCache>
                <c:ptCount val="1"/>
                <c:pt idx="0">
                  <c:v>전복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'계절평균(월별등락률)'!$C$55:$N$55</c:f>
              <c:numCache>
                <c:formatCode>0.0%</c:formatCode>
                <c:ptCount val="12"/>
                <c:pt idx="0">
                  <c:v>-0.000428897467838674</c:v>
                </c:pt>
                <c:pt idx="1">
                  <c:v>-0.00289983271473239</c:v>
                </c:pt>
                <c:pt idx="2">
                  <c:v>-0.0125286819711724</c:v>
                </c:pt>
                <c:pt idx="3">
                  <c:v>-0.0306991323529327</c:v>
                </c:pt>
                <c:pt idx="4">
                  <c:v>-0.0159704891042079</c:v>
                </c:pt>
                <c:pt idx="5">
                  <c:v>0.00135071247339043</c:v>
                </c:pt>
                <c:pt idx="6">
                  <c:v>-0.0223792270585612</c:v>
                </c:pt>
                <c:pt idx="7">
                  <c:v>-0.0207379352759558</c:v>
                </c:pt>
                <c:pt idx="8">
                  <c:v>0.0111691561844521</c:v>
                </c:pt>
                <c:pt idx="9">
                  <c:v>0.00788255259907384</c:v>
                </c:pt>
                <c:pt idx="10">
                  <c:v>0.00930823502966427</c:v>
                </c:pt>
                <c:pt idx="11">
                  <c:v>0.00275951097817753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'계절평균(월별등락률)'!B56</c:f>
              <c:strCache>
                <c:ptCount val="1"/>
                <c:pt idx="0">
                  <c:v>물오징어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'계절평균(월별등락률)'!$C$56:$N$56</c:f>
              <c:numCache>
                <c:formatCode>0.0%</c:formatCode>
                <c:ptCount val="12"/>
                <c:pt idx="0">
                  <c:v>-0.000682689520156266</c:v>
                </c:pt>
                <c:pt idx="1">
                  <c:v>0.0688137743301099</c:v>
                </c:pt>
                <c:pt idx="2">
                  <c:v>0.0691522452111369</c:v>
                </c:pt>
                <c:pt idx="3">
                  <c:v>0.0193868817741623</c:v>
                </c:pt>
                <c:pt idx="4">
                  <c:v>-0.00474913463952535</c:v>
                </c:pt>
                <c:pt idx="5">
                  <c:v>-0.0754880710786542</c:v>
                </c:pt>
                <c:pt idx="6">
                  <c:v>-0.0810089380854325</c:v>
                </c:pt>
                <c:pt idx="7">
                  <c:v>-0.0629222256840619</c:v>
                </c:pt>
                <c:pt idx="8">
                  <c:v>0.00427625676573189</c:v>
                </c:pt>
                <c:pt idx="9">
                  <c:v>0.0738947483071297</c:v>
                </c:pt>
                <c:pt idx="10">
                  <c:v>0.03962180423629</c:v>
                </c:pt>
                <c:pt idx="11">
                  <c:v>0.0808248171419118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'계절평균(월별등락률)'!B57</c:f>
              <c:strCache>
                <c:ptCount val="1"/>
                <c:pt idx="0">
                  <c:v>냉동고등어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'계절평균(월별등락률)'!$C$57:$N$57</c:f>
              <c:numCache>
                <c:formatCode>0.0%</c:formatCode>
                <c:ptCount val="12"/>
                <c:pt idx="0">
                  <c:v>0.000765315140876721</c:v>
                </c:pt>
                <c:pt idx="1">
                  <c:v>0.0106844314761164</c:v>
                </c:pt>
                <c:pt idx="2">
                  <c:v>-0.00274400159696927</c:v>
                </c:pt>
                <c:pt idx="3">
                  <c:v>0.00431623834458539</c:v>
                </c:pt>
                <c:pt idx="4">
                  <c:v>0.0159977836815652</c:v>
                </c:pt>
                <c:pt idx="5">
                  <c:v>0.00346129222577343</c:v>
                </c:pt>
                <c:pt idx="6">
                  <c:v>-0.0320158446445367</c:v>
                </c:pt>
                <c:pt idx="7">
                  <c:v>-0.011517868394017</c:v>
                </c:pt>
                <c:pt idx="8">
                  <c:v>-0.00420704342372673</c:v>
                </c:pt>
                <c:pt idx="9">
                  <c:v>-0.0150166439094191</c:v>
                </c:pt>
                <c:pt idx="10">
                  <c:v>0.0077372868357046</c:v>
                </c:pt>
                <c:pt idx="11">
                  <c:v>0.0253306633713177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'계절평균(월별등락률)'!B58</c:f>
              <c:strCache>
                <c:ptCount val="1"/>
                <c:pt idx="0">
                  <c:v>냉동오징어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'계절평균(월별등락률)'!$C$58:$N$58</c:f>
              <c:numCache>
                <c:formatCode>0.0%</c:formatCode>
                <c:ptCount val="12"/>
                <c:pt idx="0">
                  <c:v>-0.0344572424380597</c:v>
                </c:pt>
                <c:pt idx="1">
                  <c:v>0.0125300498393007</c:v>
                </c:pt>
                <c:pt idx="2">
                  <c:v>0.0223089374590199</c:v>
                </c:pt>
                <c:pt idx="3">
                  <c:v>0.00536185769279533</c:v>
                </c:pt>
                <c:pt idx="4">
                  <c:v>0.00613971955001395</c:v>
                </c:pt>
                <c:pt idx="5">
                  <c:v>-0.0013557256216135</c:v>
                </c:pt>
                <c:pt idx="6">
                  <c:v>-0.0194781246868958</c:v>
                </c:pt>
                <c:pt idx="7">
                  <c:v>7.42993089271726E-005</c:v>
                </c:pt>
                <c:pt idx="8">
                  <c:v>-0.0330356045542883</c:v>
                </c:pt>
                <c:pt idx="9">
                  <c:v>-0.0016572910516951</c:v>
                </c:pt>
                <c:pt idx="10">
                  <c:v>0.0396598805560358</c:v>
                </c:pt>
                <c:pt idx="11">
                  <c:v>0.0101724466629653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'계절평균(월별등락률)'!B59</c:f>
              <c:strCache>
                <c:ptCount val="1"/>
                <c:pt idx="0">
                  <c:v>냉동명태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'계절평균(월별등락률)'!$C$59:$N$59</c:f>
              <c:numCache>
                <c:formatCode>0.0%</c:formatCode>
                <c:ptCount val="12"/>
                <c:pt idx="0">
                  <c:v>0.00713330885378256</c:v>
                </c:pt>
                <c:pt idx="1">
                  <c:v>-0.0129444494493303</c:v>
                </c:pt>
                <c:pt idx="2">
                  <c:v>-0.00135021544197807</c:v>
                </c:pt>
                <c:pt idx="3">
                  <c:v>0.0190561616802435</c:v>
                </c:pt>
                <c:pt idx="4">
                  <c:v>0.0176819422128376</c:v>
                </c:pt>
                <c:pt idx="5">
                  <c:v>0.00601418037428003</c:v>
                </c:pt>
                <c:pt idx="6">
                  <c:v>0.00177674177866745</c:v>
                </c:pt>
                <c:pt idx="7">
                  <c:v>-0.0152824454016939</c:v>
                </c:pt>
                <c:pt idx="8">
                  <c:v>-0.0124149174314148</c:v>
                </c:pt>
                <c:pt idx="9">
                  <c:v>-0.0270288708585222</c:v>
                </c:pt>
                <c:pt idx="10">
                  <c:v>0.00381373243654015</c:v>
                </c:pt>
                <c:pt idx="11">
                  <c:v>0.00599323830536227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'계절평균(월별등락률)'!B60</c:f>
              <c:strCache>
                <c:ptCount val="1"/>
                <c:pt idx="0">
                  <c:v>명태건제품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'계절평균(월별등락률)'!$C$60:$N$60</c:f>
              <c:numCache>
                <c:formatCode>0.0%</c:formatCode>
                <c:ptCount val="12"/>
                <c:pt idx="0">
                  <c:v>-0.0015557609252927</c:v>
                </c:pt>
                <c:pt idx="1">
                  <c:v>0.00296808491048584</c:v>
                </c:pt>
                <c:pt idx="2">
                  <c:v>0.00611028495923553</c:v>
                </c:pt>
                <c:pt idx="3">
                  <c:v>0.00804785065753041</c:v>
                </c:pt>
                <c:pt idx="4">
                  <c:v>0.00920753708616523</c:v>
                </c:pt>
                <c:pt idx="5">
                  <c:v>0.00230239805403165</c:v>
                </c:pt>
                <c:pt idx="6">
                  <c:v>-0.00668967829249236</c:v>
                </c:pt>
                <c:pt idx="7">
                  <c:v>0.00671795406630185</c:v>
                </c:pt>
                <c:pt idx="8">
                  <c:v>0.00740626103218181</c:v>
                </c:pt>
                <c:pt idx="9">
                  <c:v>0.00434212820882456</c:v>
                </c:pt>
                <c:pt idx="10">
                  <c:v>0.00191167915287704</c:v>
                </c:pt>
                <c:pt idx="11">
                  <c:v>0.00344098074768588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'계절평균(월별등락률)'!B61</c:f>
              <c:strCache>
                <c:ptCount val="1"/>
                <c:pt idx="0">
                  <c:v>멸치건제품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'계절평균(월별등락률)'!$C$61:$N$61</c:f>
              <c:numCache>
                <c:formatCode>0.0%</c:formatCode>
                <c:ptCount val="12"/>
                <c:pt idx="0">
                  <c:v>0.000826948300100572</c:v>
                </c:pt>
                <c:pt idx="1">
                  <c:v>0.00209613700058179</c:v>
                </c:pt>
                <c:pt idx="2">
                  <c:v>-0.00449402343152785</c:v>
                </c:pt>
                <c:pt idx="3">
                  <c:v>-0.00844343113512713</c:v>
                </c:pt>
                <c:pt idx="4">
                  <c:v>-0.00810182009794221</c:v>
                </c:pt>
                <c:pt idx="5">
                  <c:v>0.00904676231620138</c:v>
                </c:pt>
                <c:pt idx="6">
                  <c:v>-0.00920015960290277</c:v>
                </c:pt>
                <c:pt idx="7">
                  <c:v>-0.0137465367766366</c:v>
                </c:pt>
                <c:pt idx="8">
                  <c:v>0.00831795340919224</c:v>
                </c:pt>
                <c:pt idx="9">
                  <c:v>0.00549334159094619</c:v>
                </c:pt>
                <c:pt idx="10">
                  <c:v>0.0240974061176788</c:v>
                </c:pt>
                <c:pt idx="11">
                  <c:v>-0.00316490309098612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'계절평균(월별등락률)'!B62</c:f>
              <c:strCache>
                <c:ptCount val="1"/>
                <c:pt idx="0">
                  <c:v>오징어건제품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circle"/>
            <c:size val="5"/>
            <c:spPr>
              <a:solidFill>
                <a:srgbClr val="a596b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'계절평균(월별등락률)'!$C$62:$N$62</c:f>
              <c:numCache>
                <c:formatCode>0.0%</c:formatCode>
                <c:ptCount val="12"/>
                <c:pt idx="0">
                  <c:v>0.0203020345663586</c:v>
                </c:pt>
                <c:pt idx="1">
                  <c:v>0.00285249683861002</c:v>
                </c:pt>
                <c:pt idx="2">
                  <c:v>0.00924305571642078</c:v>
                </c:pt>
                <c:pt idx="3">
                  <c:v>0.00713723460099025</c:v>
                </c:pt>
                <c:pt idx="4">
                  <c:v>0.00709806197773929</c:v>
                </c:pt>
                <c:pt idx="5">
                  <c:v>0.0027551981428829</c:v>
                </c:pt>
                <c:pt idx="6">
                  <c:v>0.00212463707321193</c:v>
                </c:pt>
                <c:pt idx="7">
                  <c:v>-0.00165267275886756</c:v>
                </c:pt>
                <c:pt idx="8">
                  <c:v>-2.69272532195997E-005</c:v>
                </c:pt>
                <c:pt idx="9">
                  <c:v>-0.00140285600673467</c:v>
                </c:pt>
                <c:pt idx="10">
                  <c:v>-0.00275216851516327</c:v>
                </c:pt>
                <c:pt idx="11">
                  <c:v>0.00642219690625634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'계절평균(월별등락률)'!B63</c:f>
              <c:strCache>
                <c:ptCount val="1"/>
                <c:pt idx="0">
                  <c:v>김</c:v>
                </c:pt>
              </c:strCache>
            </c:strRef>
          </c:tx>
          <c:spPr>
            <a:solidFill>
              <a:srgbClr val="8cbfd2"/>
            </a:solidFill>
            <a:ln w="28440">
              <a:solidFill>
                <a:srgbClr val="8cbfd2"/>
              </a:solidFill>
              <a:round/>
            </a:ln>
          </c:spPr>
          <c:marker>
            <c:symbol val="circle"/>
            <c:size val="5"/>
            <c:spPr>
              <a:solidFill>
                <a:srgbClr val="8cbfd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'계절평균(월별등락률)'!$C$1:$N$1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'계절평균(월별등락률)'!$C$63:$N$63</c:f>
              <c:numCache>
                <c:formatCode>0.0%</c:formatCode>
                <c:ptCount val="12"/>
                <c:pt idx="0">
                  <c:v>0.015496096733293</c:v>
                </c:pt>
                <c:pt idx="1">
                  <c:v>-0.00190905006684328</c:v>
                </c:pt>
                <c:pt idx="2">
                  <c:v>0.0444615150468493</c:v>
                </c:pt>
                <c:pt idx="3">
                  <c:v>0.0222399342482803</c:v>
                </c:pt>
                <c:pt idx="4">
                  <c:v>0.00150449996681329</c:v>
                </c:pt>
                <c:pt idx="5">
                  <c:v>0.00187247146383887</c:v>
                </c:pt>
                <c:pt idx="6">
                  <c:v>-0.00242442765007425</c:v>
                </c:pt>
                <c:pt idx="7">
                  <c:v>-0.000834490307854785</c:v>
                </c:pt>
                <c:pt idx="8">
                  <c:v>0.00555934470223933</c:v>
                </c:pt>
                <c:pt idx="9">
                  <c:v>0.00221186772995141</c:v>
                </c:pt>
                <c:pt idx="10">
                  <c:v>0.00746353202801045</c:v>
                </c:pt>
                <c:pt idx="11">
                  <c:v>0.0135004393345247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707322"/>
        <c:axId val="26547138"/>
      </c:lineChart>
      <c:catAx>
        <c:axId val="517073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47138"/>
        <c:crosses val="autoZero"/>
        <c:auto val="1"/>
        <c:lblAlgn val="ctr"/>
        <c:lblOffset val="100"/>
        <c:noMultiLvlLbl val="0"/>
      </c:catAx>
      <c:valAx>
        <c:axId val="26547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전월대비 등락률(%)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07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190440</xdr:rowOff>
    </xdr:from>
    <xdr:to>
      <xdr:col>12</xdr:col>
      <xdr:colOff>581400</xdr:colOff>
      <xdr:row>15</xdr:row>
      <xdr:rowOff>185400</xdr:rowOff>
    </xdr:to>
    <xdr:graphicFrame>
      <xdr:nvGraphicFramePr>
        <xdr:cNvPr id="0" name="Chart 1"/>
        <xdr:cNvGraphicFramePr/>
      </xdr:nvGraphicFramePr>
      <xdr:xfrm>
        <a:off x="0" y="190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163080</xdr:rowOff>
    </xdr:from>
    <xdr:to>
      <xdr:col>12</xdr:col>
      <xdr:colOff>581400</xdr:colOff>
      <xdr:row>32</xdr:row>
      <xdr:rowOff>185400</xdr:rowOff>
    </xdr:to>
    <xdr:graphicFrame>
      <xdr:nvGraphicFramePr>
        <xdr:cNvPr id="1" name="Chart 2"/>
        <xdr:cNvGraphicFramePr/>
      </xdr:nvGraphicFramePr>
      <xdr:xfrm>
        <a:off x="0" y="3429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163080</xdr:rowOff>
    </xdr:from>
    <xdr:to>
      <xdr:col>12</xdr:col>
      <xdr:colOff>581400</xdr:colOff>
      <xdr:row>49</xdr:row>
      <xdr:rowOff>185400</xdr:rowOff>
    </xdr:to>
    <xdr:graphicFrame>
      <xdr:nvGraphicFramePr>
        <xdr:cNvPr id="2" name="Chart 3"/>
        <xdr:cNvGraphicFramePr/>
      </xdr:nvGraphicFramePr>
      <xdr:xfrm>
        <a:off x="0" y="6667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51</xdr:row>
      <xdr:rowOff>163440</xdr:rowOff>
    </xdr:from>
    <xdr:to>
      <xdr:col>12</xdr:col>
      <xdr:colOff>581400</xdr:colOff>
      <xdr:row>66</xdr:row>
      <xdr:rowOff>185400</xdr:rowOff>
    </xdr:to>
    <xdr:graphicFrame>
      <xdr:nvGraphicFramePr>
        <xdr:cNvPr id="3" name="Chart 4"/>
        <xdr:cNvGraphicFramePr/>
      </xdr:nvGraphicFramePr>
      <xdr:xfrm>
        <a:off x="0" y="9906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68</xdr:row>
      <xdr:rowOff>163440</xdr:rowOff>
    </xdr:from>
    <xdr:to>
      <xdr:col>12</xdr:col>
      <xdr:colOff>581400</xdr:colOff>
      <xdr:row>83</xdr:row>
      <xdr:rowOff>185400</xdr:rowOff>
    </xdr:to>
    <xdr:graphicFrame>
      <xdr:nvGraphicFramePr>
        <xdr:cNvPr id="4" name="Chart 5"/>
        <xdr:cNvGraphicFramePr/>
      </xdr:nvGraphicFramePr>
      <xdr:xfrm>
        <a:off x="0" y="13144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85</xdr:row>
      <xdr:rowOff>163080</xdr:rowOff>
    </xdr:from>
    <xdr:to>
      <xdr:col>12</xdr:col>
      <xdr:colOff>581400</xdr:colOff>
      <xdr:row>100</xdr:row>
      <xdr:rowOff>185040</xdr:rowOff>
    </xdr:to>
    <xdr:graphicFrame>
      <xdr:nvGraphicFramePr>
        <xdr:cNvPr id="5" name="Chart 6"/>
        <xdr:cNvGraphicFramePr/>
      </xdr:nvGraphicFramePr>
      <xdr:xfrm>
        <a:off x="0" y="16382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102</xdr:row>
      <xdr:rowOff>163080</xdr:rowOff>
    </xdr:from>
    <xdr:to>
      <xdr:col>12</xdr:col>
      <xdr:colOff>581400</xdr:colOff>
      <xdr:row>117</xdr:row>
      <xdr:rowOff>185400</xdr:rowOff>
    </xdr:to>
    <xdr:graphicFrame>
      <xdr:nvGraphicFramePr>
        <xdr:cNvPr id="6" name="Chart 7"/>
        <xdr:cNvGraphicFramePr/>
      </xdr:nvGraphicFramePr>
      <xdr:xfrm>
        <a:off x="0" y="19621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119</xdr:row>
      <xdr:rowOff>163080</xdr:rowOff>
    </xdr:from>
    <xdr:to>
      <xdr:col>12</xdr:col>
      <xdr:colOff>581400</xdr:colOff>
      <xdr:row>134</xdr:row>
      <xdr:rowOff>185400</xdr:rowOff>
    </xdr:to>
    <xdr:graphicFrame>
      <xdr:nvGraphicFramePr>
        <xdr:cNvPr id="7" name="Chart 8"/>
        <xdr:cNvGraphicFramePr/>
      </xdr:nvGraphicFramePr>
      <xdr:xfrm>
        <a:off x="0" y="22860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136</xdr:row>
      <xdr:rowOff>163080</xdr:rowOff>
    </xdr:from>
    <xdr:to>
      <xdr:col>12</xdr:col>
      <xdr:colOff>581400</xdr:colOff>
      <xdr:row>151</xdr:row>
      <xdr:rowOff>185400</xdr:rowOff>
    </xdr:to>
    <xdr:graphicFrame>
      <xdr:nvGraphicFramePr>
        <xdr:cNvPr id="8" name="Chart 9"/>
        <xdr:cNvGraphicFramePr/>
      </xdr:nvGraphicFramePr>
      <xdr:xfrm>
        <a:off x="0" y="26098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9.4" hidden="false" customHeight="false" outlineLevel="0" collapsed="false">
      <c r="A6" s="4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9.4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2"/>
    </row>
    <row r="18" customFormat="false" ht="19.4" hidden="false" customHeight="false" outlineLevel="0" collapsed="false">
      <c r="A18" s="4" t="s">
        <v>13</v>
      </c>
    </row>
    <row r="19" customFormat="false" ht="29.85" hidden="false" customHeight="false" outlineLevel="0" collapsed="false">
      <c r="A19" s="2" t="s">
        <v>14</v>
      </c>
    </row>
    <row r="20" customFormat="false" ht="29.8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9" min="5" style="0" width="8.5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48</v>
      </c>
      <c r="AH1" s="7" t="s">
        <v>49</v>
      </c>
      <c r="AI1" s="7" t="s">
        <v>50</v>
      </c>
      <c r="AJ1" s="7" t="s">
        <v>51</v>
      </c>
      <c r="AK1" s="7" t="s">
        <v>52</v>
      </c>
      <c r="AL1" s="7" t="s">
        <v>53</v>
      </c>
      <c r="AM1" s="7" t="s">
        <v>54</v>
      </c>
      <c r="AN1" s="7" t="s">
        <v>55</v>
      </c>
      <c r="AO1" s="7" t="s">
        <v>56</v>
      </c>
      <c r="AP1" s="7" t="s">
        <v>57</v>
      </c>
      <c r="AQ1" s="7" t="s">
        <v>58</v>
      </c>
      <c r="AR1" s="7" t="s">
        <v>59</v>
      </c>
      <c r="AS1" s="7" t="s">
        <v>60</v>
      </c>
      <c r="AT1" s="7" t="s">
        <v>61</v>
      </c>
      <c r="AU1" s="7" t="s">
        <v>62</v>
      </c>
      <c r="AV1" s="7" t="s">
        <v>63</v>
      </c>
      <c r="AW1" s="7" t="s">
        <v>64</v>
      </c>
      <c r="AX1" s="7" t="s">
        <v>65</v>
      </c>
      <c r="AY1" s="7" t="s">
        <v>66</v>
      </c>
      <c r="AZ1" s="7" t="s">
        <v>67</v>
      </c>
      <c r="BA1" s="7" t="s">
        <v>68</v>
      </c>
      <c r="BB1" s="7" t="s">
        <v>69</v>
      </c>
      <c r="BC1" s="7" t="s">
        <v>70</v>
      </c>
      <c r="BD1" s="7" t="s">
        <v>71</v>
      </c>
      <c r="BE1" s="7" t="s">
        <v>72</v>
      </c>
      <c r="BF1" s="7" t="s">
        <v>73</v>
      </c>
      <c r="BG1" s="7" t="s">
        <v>74</v>
      </c>
      <c r="BH1" s="7" t="s">
        <v>75</v>
      </c>
      <c r="BI1" s="7" t="s">
        <v>76</v>
      </c>
      <c r="BJ1" s="7" t="s">
        <v>77</v>
      </c>
      <c r="BK1" s="7" t="s">
        <v>78</v>
      </c>
      <c r="BL1" s="7" t="s">
        <v>79</v>
      </c>
      <c r="BM1" s="7" t="s">
        <v>80</v>
      </c>
      <c r="BN1" s="7" t="s">
        <v>81</v>
      </c>
      <c r="BO1" s="7" t="s">
        <v>82</v>
      </c>
      <c r="BP1" s="7" t="s">
        <v>83</v>
      </c>
      <c r="BQ1" s="7" t="s">
        <v>84</v>
      </c>
    </row>
    <row r="2" customFormat="false" ht="15" hidden="false" customHeight="false" outlineLevel="0" collapsed="false">
      <c r="A2" s="8" t="s">
        <v>85</v>
      </c>
      <c r="B2" s="9" t="s">
        <v>86</v>
      </c>
      <c r="C2" s="10" t="s">
        <v>87</v>
      </c>
      <c r="D2" s="8" t="n">
        <v>3.6</v>
      </c>
      <c r="E2" s="11" t="n">
        <v>110.86</v>
      </c>
      <c r="F2" s="11" t="n">
        <v>111.43</v>
      </c>
      <c r="G2" s="11" t="n">
        <v>112.26</v>
      </c>
      <c r="H2" s="11" t="n">
        <v>113.14</v>
      </c>
      <c r="I2" s="11" t="n">
        <v>113.38</v>
      </c>
      <c r="J2" s="11" t="n">
        <v>113.46</v>
      </c>
      <c r="K2" s="11" t="n">
        <v>113.38</v>
      </c>
      <c r="L2" s="11" t="n">
        <v>112.81</v>
      </c>
      <c r="M2" s="11" t="n">
        <v>110.14</v>
      </c>
      <c r="N2" s="11" t="n">
        <v>112.35</v>
      </c>
      <c r="O2" s="11" t="n">
        <v>108.3</v>
      </c>
      <c r="P2" s="11" t="n">
        <v>105.31</v>
      </c>
      <c r="Q2" s="11" t="n">
        <v>103.05</v>
      </c>
      <c r="R2" s="11" t="n">
        <v>102.55</v>
      </c>
      <c r="S2" s="11" t="n">
        <v>100.96</v>
      </c>
      <c r="T2" s="11" t="n">
        <v>97.11</v>
      </c>
      <c r="U2" s="11" t="n">
        <v>94.48</v>
      </c>
      <c r="V2" s="11" t="n">
        <v>92.42</v>
      </c>
      <c r="W2" s="11" t="n">
        <v>90.1</v>
      </c>
      <c r="X2" s="11" t="n">
        <v>86.21</v>
      </c>
      <c r="Y2" s="11" t="n">
        <v>82.74</v>
      </c>
      <c r="Z2" s="11" t="n">
        <v>95.44</v>
      </c>
      <c r="AA2" s="11" t="n">
        <v>94.99</v>
      </c>
      <c r="AB2" s="11" t="n">
        <v>94.61</v>
      </c>
      <c r="AC2" s="11" t="n">
        <v>91.5</v>
      </c>
      <c r="AD2" s="11" t="n">
        <v>91.13</v>
      </c>
      <c r="AE2" s="11" t="n">
        <v>90.77</v>
      </c>
      <c r="AF2" s="11" t="n">
        <v>90.25</v>
      </c>
      <c r="AG2" s="11" t="n">
        <v>90.49</v>
      </c>
      <c r="AH2" s="11" t="n">
        <v>92.28</v>
      </c>
      <c r="AI2" s="11" t="n">
        <v>94.42</v>
      </c>
      <c r="AJ2" s="11" t="n">
        <v>98.63</v>
      </c>
      <c r="AK2" s="11" t="n">
        <v>101.6</v>
      </c>
      <c r="AL2" s="11" t="n">
        <v>106.82</v>
      </c>
      <c r="AM2" s="11" t="n">
        <v>101.35</v>
      </c>
      <c r="AN2" s="11" t="n">
        <v>100.49</v>
      </c>
      <c r="AO2" s="11" t="n">
        <v>99.31</v>
      </c>
      <c r="AP2" s="11" t="n">
        <v>98.2</v>
      </c>
      <c r="AQ2" s="11" t="n">
        <v>97.98</v>
      </c>
      <c r="AR2" s="11" t="n">
        <v>97</v>
      </c>
      <c r="AS2" s="11" t="n">
        <v>96.09</v>
      </c>
      <c r="AT2" s="11" t="n">
        <v>94.94</v>
      </c>
      <c r="AU2" s="11" t="n">
        <v>92.1</v>
      </c>
      <c r="AV2" s="11" t="n">
        <v>90.11</v>
      </c>
      <c r="AW2" s="11" t="n">
        <v>88.76</v>
      </c>
      <c r="AX2" s="11" t="n">
        <v>94.01</v>
      </c>
      <c r="AY2" s="11" t="n">
        <v>92.95</v>
      </c>
      <c r="AZ2" s="11" t="n">
        <v>94.15</v>
      </c>
      <c r="BA2" s="11" t="n">
        <v>95.07</v>
      </c>
      <c r="BB2" s="11" t="n">
        <v>96.29</v>
      </c>
      <c r="BC2" s="11" t="n">
        <v>97.78</v>
      </c>
      <c r="BD2" s="11" t="n">
        <v>98.39</v>
      </c>
      <c r="BE2" s="11" t="n">
        <v>99.01</v>
      </c>
      <c r="BF2" s="11" t="n">
        <v>102.33</v>
      </c>
      <c r="BG2" s="11" t="n">
        <v>105.2</v>
      </c>
      <c r="BH2" s="11" t="n">
        <v>109.04</v>
      </c>
      <c r="BI2" s="11" t="n">
        <v>114.21</v>
      </c>
      <c r="BJ2" s="11" t="n">
        <v>120.17</v>
      </c>
      <c r="BK2" s="11" t="n">
        <v>115.67</v>
      </c>
      <c r="BL2" s="11" t="n">
        <v>115.65</v>
      </c>
      <c r="BM2" s="11" t="n">
        <v>116.14</v>
      </c>
      <c r="BN2" s="11" t="n">
        <v>116.93</v>
      </c>
      <c r="BO2" s="11" t="n">
        <v>117.05</v>
      </c>
      <c r="BP2" s="11" t="n">
        <v>116.52</v>
      </c>
      <c r="BQ2" s="11" t="n">
        <v>116.23</v>
      </c>
    </row>
    <row r="3" customFormat="false" ht="15" hidden="false" customHeight="false" outlineLevel="0" collapsed="false">
      <c r="A3" s="8" t="s">
        <v>85</v>
      </c>
      <c r="B3" s="9" t="s">
        <v>88</v>
      </c>
      <c r="C3" s="10" t="s">
        <v>87</v>
      </c>
      <c r="D3" s="8" t="n">
        <v>0.1</v>
      </c>
      <c r="E3" s="11" t="n">
        <v>100</v>
      </c>
      <c r="F3" s="11" t="n">
        <v>100</v>
      </c>
      <c r="G3" s="11" t="n">
        <v>100</v>
      </c>
      <c r="H3" s="11" t="n">
        <v>100</v>
      </c>
      <c r="I3" s="11" t="n">
        <v>100</v>
      </c>
      <c r="J3" s="11" t="n">
        <v>100.22</v>
      </c>
      <c r="K3" s="11" t="n">
        <v>100.53</v>
      </c>
      <c r="L3" s="11" t="n">
        <v>100.53</v>
      </c>
      <c r="M3" s="11" t="n">
        <v>100.53</v>
      </c>
      <c r="N3" s="11" t="n">
        <v>100.53</v>
      </c>
      <c r="O3" s="11" t="n">
        <v>100.53</v>
      </c>
      <c r="P3" s="11" t="n">
        <v>100.53</v>
      </c>
      <c r="Q3" s="11" t="n">
        <v>101.14</v>
      </c>
      <c r="R3" s="11" t="n">
        <v>102.93</v>
      </c>
      <c r="S3" s="11" t="n">
        <v>102.93</v>
      </c>
      <c r="T3" s="11" t="n">
        <v>102.93</v>
      </c>
      <c r="U3" s="11" t="n">
        <v>102.93</v>
      </c>
      <c r="V3" s="11" t="n">
        <v>107.13</v>
      </c>
      <c r="W3" s="11" t="n">
        <v>113.26</v>
      </c>
      <c r="X3" s="11" t="n">
        <v>113.26</v>
      </c>
      <c r="Y3" s="11" t="n">
        <v>113.26</v>
      </c>
      <c r="Z3" s="11" t="n">
        <v>113.26</v>
      </c>
      <c r="AA3" s="11" t="n">
        <v>113.26</v>
      </c>
      <c r="AB3" s="11" t="n">
        <v>113.26</v>
      </c>
      <c r="AC3" s="11" t="n">
        <v>113.26</v>
      </c>
      <c r="AD3" s="11" t="n">
        <v>113.26</v>
      </c>
      <c r="AE3" s="11" t="n">
        <v>113.26</v>
      </c>
      <c r="AF3" s="11" t="n">
        <v>113.26</v>
      </c>
      <c r="AG3" s="11" t="n">
        <v>113.26</v>
      </c>
      <c r="AH3" s="11" t="n">
        <v>113.26</v>
      </c>
      <c r="AI3" s="11" t="n">
        <v>115.56</v>
      </c>
      <c r="AJ3" s="11" t="n">
        <v>115.65</v>
      </c>
      <c r="AK3" s="11" t="n">
        <v>115.65</v>
      </c>
      <c r="AL3" s="11" t="n">
        <v>115.65</v>
      </c>
      <c r="AM3" s="11" t="n">
        <v>115.65</v>
      </c>
      <c r="AN3" s="11" t="n">
        <v>115.65</v>
      </c>
      <c r="AO3" s="11" t="n">
        <v>115.65</v>
      </c>
      <c r="AP3" s="11" t="n">
        <v>115.65</v>
      </c>
      <c r="AQ3" s="11" t="n">
        <v>115.65</v>
      </c>
      <c r="AR3" s="11" t="n">
        <v>115.65</v>
      </c>
      <c r="AS3" s="11" t="n">
        <v>115.65</v>
      </c>
      <c r="AT3" s="11" t="n">
        <v>125.41</v>
      </c>
      <c r="AU3" s="11" t="n">
        <v>154.88</v>
      </c>
      <c r="AV3" s="11" t="n">
        <v>154.88</v>
      </c>
      <c r="AW3" s="11" t="n">
        <v>154.88</v>
      </c>
      <c r="AX3" s="11" t="n">
        <v>162.42</v>
      </c>
      <c r="AY3" s="11" t="n">
        <v>167.95</v>
      </c>
      <c r="AZ3" s="11" t="n">
        <v>167.95</v>
      </c>
      <c r="BA3" s="11" t="n">
        <v>167.95</v>
      </c>
      <c r="BB3" s="11" t="n">
        <v>169.19</v>
      </c>
      <c r="BC3" s="11" t="n">
        <v>173.91</v>
      </c>
      <c r="BD3" s="11" t="n">
        <v>174.84</v>
      </c>
      <c r="BE3" s="11" t="n">
        <v>177.27</v>
      </c>
      <c r="BF3" s="11" t="n">
        <v>180.51</v>
      </c>
      <c r="BG3" s="11" t="n">
        <v>183.74</v>
      </c>
      <c r="BH3" s="11" t="n">
        <v>183.74</v>
      </c>
      <c r="BI3" s="11" t="n">
        <v>183.74</v>
      </c>
      <c r="BJ3" s="11" t="n">
        <v>183.74</v>
      </c>
      <c r="BK3" s="11" t="n">
        <v>183.74</v>
      </c>
      <c r="BL3" s="11" t="n">
        <v>183.74</v>
      </c>
      <c r="BM3" s="11" t="n">
        <v>181.9</v>
      </c>
      <c r="BN3" s="11" t="n">
        <v>180.86</v>
      </c>
      <c r="BO3" s="11" t="n">
        <v>178.82</v>
      </c>
      <c r="BP3" s="11" t="n">
        <v>173.32</v>
      </c>
      <c r="BQ3" s="11" t="n">
        <v>161.21</v>
      </c>
    </row>
    <row r="4" customFormat="false" ht="15" hidden="false" customHeight="false" outlineLevel="0" collapsed="false">
      <c r="A4" s="8" t="s">
        <v>85</v>
      </c>
      <c r="B4" s="9" t="s">
        <v>89</v>
      </c>
      <c r="C4" s="10" t="s">
        <v>87</v>
      </c>
      <c r="D4" s="8" t="n">
        <v>0.3</v>
      </c>
      <c r="E4" s="11" t="n">
        <v>114.38</v>
      </c>
      <c r="F4" s="11" t="n">
        <v>115.16</v>
      </c>
      <c r="G4" s="11" t="n">
        <v>117.33</v>
      </c>
      <c r="H4" s="11" t="n">
        <v>117.68</v>
      </c>
      <c r="I4" s="11" t="n">
        <v>117.85</v>
      </c>
      <c r="J4" s="11" t="n">
        <v>118.91</v>
      </c>
      <c r="K4" s="11" t="n">
        <v>120.84</v>
      </c>
      <c r="L4" s="11" t="n">
        <v>121.04</v>
      </c>
      <c r="M4" s="11" t="n">
        <v>121.12</v>
      </c>
      <c r="N4" s="11" t="n">
        <v>120.52</v>
      </c>
      <c r="O4" s="11" t="n">
        <v>118.66</v>
      </c>
      <c r="P4" s="11" t="n">
        <v>115.03</v>
      </c>
      <c r="Q4" s="11" t="n">
        <v>110.31</v>
      </c>
      <c r="R4" s="11" t="n">
        <v>109.51</v>
      </c>
      <c r="S4" s="11" t="n">
        <v>109.62</v>
      </c>
      <c r="T4" s="11" t="n">
        <v>109.46</v>
      </c>
      <c r="U4" s="11" t="n">
        <v>111.47</v>
      </c>
      <c r="V4" s="11" t="n">
        <v>112.47</v>
      </c>
      <c r="W4" s="11" t="n">
        <v>112.24</v>
      </c>
      <c r="X4" s="11" t="n">
        <v>112.24</v>
      </c>
      <c r="Y4" s="11" t="n">
        <v>112.24</v>
      </c>
      <c r="Z4" s="11" t="n">
        <v>113.3</v>
      </c>
      <c r="AA4" s="11" t="n">
        <v>109.04</v>
      </c>
      <c r="AB4" s="11" t="n">
        <v>102.62</v>
      </c>
      <c r="AC4" s="11" t="n">
        <v>100.98</v>
      </c>
      <c r="AD4" s="11" t="n">
        <v>99.91</v>
      </c>
      <c r="AE4" s="11" t="n">
        <v>98.88</v>
      </c>
      <c r="AF4" s="11" t="n">
        <v>98</v>
      </c>
      <c r="AG4" s="11" t="n">
        <v>98.06</v>
      </c>
      <c r="AH4" s="11" t="n">
        <v>98.58</v>
      </c>
      <c r="AI4" s="11" t="n">
        <v>99.02</v>
      </c>
      <c r="AJ4" s="11" t="n">
        <v>99.99</v>
      </c>
      <c r="AK4" s="11" t="n">
        <v>101.46</v>
      </c>
      <c r="AL4" s="11" t="n">
        <v>102.02</v>
      </c>
      <c r="AM4" s="11" t="n">
        <v>101.99</v>
      </c>
      <c r="AN4" s="11" t="n">
        <v>101.33</v>
      </c>
      <c r="AO4" s="11" t="n">
        <v>100.97</v>
      </c>
      <c r="AP4" s="11" t="n">
        <v>100.29</v>
      </c>
      <c r="AQ4" s="11" t="n">
        <v>101.37</v>
      </c>
      <c r="AR4" s="11" t="n">
        <v>101.34</v>
      </c>
      <c r="AS4" s="11" t="n">
        <v>101.29</v>
      </c>
      <c r="AT4" s="11" t="n">
        <v>101.81</v>
      </c>
      <c r="AU4" s="11" t="n">
        <v>101.87</v>
      </c>
      <c r="AV4" s="11" t="n">
        <v>101.92</v>
      </c>
      <c r="AW4" s="11" t="n">
        <v>101.53</v>
      </c>
      <c r="AX4" s="11" t="n">
        <v>101.35</v>
      </c>
      <c r="AY4" s="11" t="n">
        <v>102.81</v>
      </c>
      <c r="AZ4" s="11" t="n">
        <v>105.2</v>
      </c>
      <c r="BA4" s="11" t="n">
        <v>105.19</v>
      </c>
      <c r="BB4" s="11" t="n">
        <v>105.27</v>
      </c>
      <c r="BC4" s="11" t="n">
        <v>105.98</v>
      </c>
      <c r="BD4" s="11" t="n">
        <v>105.94</v>
      </c>
      <c r="BE4" s="11" t="n">
        <v>105.9</v>
      </c>
      <c r="BF4" s="11" t="n">
        <v>105.29</v>
      </c>
      <c r="BG4" s="11" t="n">
        <v>105.13</v>
      </c>
      <c r="BH4" s="11" t="n">
        <v>105.43</v>
      </c>
      <c r="BI4" s="11" t="n">
        <v>105.27</v>
      </c>
      <c r="BJ4" s="11" t="n">
        <v>104.95</v>
      </c>
      <c r="BK4" s="11" t="n">
        <v>104.66</v>
      </c>
      <c r="BL4" s="11" t="n">
        <v>104.5</v>
      </c>
      <c r="BM4" s="11" t="n">
        <v>103.86</v>
      </c>
      <c r="BN4" s="11" t="n">
        <v>103.07</v>
      </c>
      <c r="BO4" s="11" t="n">
        <v>103.04</v>
      </c>
      <c r="BP4" s="11" t="n">
        <v>103.12</v>
      </c>
      <c r="BQ4" s="11" t="n">
        <v>103.26</v>
      </c>
    </row>
    <row r="5" customFormat="false" ht="15" hidden="false" customHeight="false" outlineLevel="0" collapsed="false">
      <c r="A5" s="8" t="s">
        <v>90</v>
      </c>
      <c r="B5" s="9" t="s">
        <v>91</v>
      </c>
      <c r="C5" s="10" t="s">
        <v>87</v>
      </c>
      <c r="D5" s="8" t="n">
        <v>0.3</v>
      </c>
      <c r="E5" s="11" t="n">
        <v>104.91</v>
      </c>
      <c r="F5" s="11" t="n">
        <v>107.48</v>
      </c>
      <c r="G5" s="11" t="n">
        <v>104.34</v>
      </c>
      <c r="H5" s="11" t="n">
        <v>93.5</v>
      </c>
      <c r="I5" s="11" t="n">
        <v>85.55</v>
      </c>
      <c r="J5" s="11" t="n">
        <v>71.17</v>
      </c>
      <c r="K5" s="11" t="n">
        <v>77.7</v>
      </c>
      <c r="L5" s="11" t="n">
        <v>101.24</v>
      </c>
      <c r="M5" s="11" t="n">
        <v>108.43</v>
      </c>
      <c r="N5" s="11" t="n">
        <v>105.99</v>
      </c>
      <c r="O5" s="11" t="n">
        <v>116.99</v>
      </c>
      <c r="P5" s="11" t="n">
        <v>130.09</v>
      </c>
      <c r="Q5" s="11" t="n">
        <v>129.5</v>
      </c>
      <c r="R5" s="11" t="n">
        <v>130.76</v>
      </c>
      <c r="S5" s="11" t="n">
        <v>144.07</v>
      </c>
      <c r="T5" s="11" t="n">
        <v>208.88</v>
      </c>
      <c r="U5" s="11" t="n">
        <v>187.38</v>
      </c>
      <c r="V5" s="11" t="n">
        <v>125.11</v>
      </c>
      <c r="W5" s="11" t="n">
        <v>124.47</v>
      </c>
      <c r="X5" s="11" t="n">
        <v>134.8</v>
      </c>
      <c r="Y5" s="11" t="n">
        <v>135.43</v>
      </c>
      <c r="Z5" s="11" t="n">
        <v>133.08</v>
      </c>
      <c r="AA5" s="11" t="n">
        <v>143.11</v>
      </c>
      <c r="AB5" s="11" t="n">
        <v>142.26</v>
      </c>
      <c r="AC5" s="11" t="n">
        <v>141.45</v>
      </c>
      <c r="AD5" s="11" t="n">
        <v>136.64</v>
      </c>
      <c r="AE5" s="11" t="n">
        <v>145.75</v>
      </c>
      <c r="AF5" s="11" t="n">
        <v>189.15</v>
      </c>
      <c r="AG5" s="11" t="n">
        <v>213.05</v>
      </c>
      <c r="AH5" s="11" t="n">
        <v>124.28</v>
      </c>
      <c r="AI5" s="11" t="n">
        <v>122.27</v>
      </c>
      <c r="AJ5" s="11" t="n">
        <v>121.85</v>
      </c>
      <c r="AK5" s="11" t="n">
        <v>125.54</v>
      </c>
      <c r="AL5" s="11" t="n">
        <v>125.57</v>
      </c>
      <c r="AM5" s="11" t="n">
        <v>129.49</v>
      </c>
      <c r="AN5" s="11" t="n">
        <v>138.39</v>
      </c>
      <c r="AO5" s="11" t="n">
        <v>138.58</v>
      </c>
      <c r="AP5" s="11" t="n">
        <v>124.62</v>
      </c>
      <c r="AQ5" s="11" t="n">
        <v>136.83</v>
      </c>
      <c r="AR5" s="11" t="n">
        <v>140.56</v>
      </c>
      <c r="AS5" s="11" t="n">
        <v>122.17</v>
      </c>
      <c r="AT5" s="11" t="n">
        <v>90.19</v>
      </c>
      <c r="AU5" s="11" t="n">
        <v>89.4</v>
      </c>
      <c r="AV5" s="11" t="n">
        <v>95.14</v>
      </c>
      <c r="AW5" s="11" t="n">
        <v>101.84</v>
      </c>
      <c r="AX5" s="11" t="n">
        <v>98.05</v>
      </c>
      <c r="AY5" s="11" t="n">
        <v>101.16</v>
      </c>
      <c r="AZ5" s="11" t="n">
        <v>109.73</v>
      </c>
      <c r="BA5" s="11" t="n">
        <v>113.72</v>
      </c>
      <c r="BB5" s="11" t="n">
        <v>117.21</v>
      </c>
      <c r="BC5" s="11" t="n">
        <v>103.03</v>
      </c>
      <c r="BD5" s="11" t="n">
        <v>108.68</v>
      </c>
      <c r="BE5" s="11" t="n">
        <v>106.64</v>
      </c>
      <c r="BF5" s="11" t="n">
        <v>92.91</v>
      </c>
      <c r="BG5" s="11" t="n">
        <v>97.52</v>
      </c>
      <c r="BH5" s="11" t="n">
        <v>121.58</v>
      </c>
      <c r="BI5" s="11" t="n">
        <v>124.27</v>
      </c>
      <c r="BJ5" s="11" t="n">
        <v>130.73</v>
      </c>
      <c r="BK5" s="11" t="n">
        <v>136.3</v>
      </c>
      <c r="BL5" s="11" t="n">
        <v>151.31</v>
      </c>
      <c r="BM5" s="11" t="n">
        <v>186.73</v>
      </c>
      <c r="BN5" s="11" t="n">
        <v>158.81</v>
      </c>
      <c r="BO5" s="11" t="n">
        <v>164.78</v>
      </c>
      <c r="BP5" s="11" t="n">
        <v>181.04</v>
      </c>
      <c r="BQ5" s="11" t="n">
        <v>127.13</v>
      </c>
    </row>
    <row r="6" customFormat="false" ht="15" hidden="false" customHeight="false" outlineLevel="0" collapsed="false">
      <c r="A6" s="8" t="s">
        <v>90</v>
      </c>
      <c r="B6" s="9" t="s">
        <v>92</v>
      </c>
      <c r="C6" s="10" t="s">
        <v>87</v>
      </c>
      <c r="D6" s="8" t="n">
        <v>0.2</v>
      </c>
      <c r="E6" s="11" t="n">
        <v>104.75</v>
      </c>
      <c r="F6" s="11" t="n">
        <v>108.14</v>
      </c>
      <c r="G6" s="11" t="n">
        <v>106.43</v>
      </c>
      <c r="H6" s="11" t="n">
        <v>105.45</v>
      </c>
      <c r="I6" s="11" t="n">
        <v>122.02</v>
      </c>
      <c r="J6" s="11" t="n">
        <v>126.02</v>
      </c>
      <c r="K6" s="11" t="n">
        <v>85.92</v>
      </c>
      <c r="L6" s="11" t="n">
        <v>83.37</v>
      </c>
      <c r="M6" s="11" t="n">
        <v>82.49</v>
      </c>
      <c r="N6" s="11" t="n">
        <v>73.6</v>
      </c>
      <c r="O6" s="11" t="n">
        <v>71.44</v>
      </c>
      <c r="P6" s="11" t="n">
        <v>75.35</v>
      </c>
      <c r="Q6" s="11" t="n">
        <v>71.53</v>
      </c>
      <c r="R6" s="11" t="n">
        <v>72.25</v>
      </c>
      <c r="S6" s="11" t="n">
        <v>69.62</v>
      </c>
      <c r="T6" s="11" t="n">
        <v>71.89</v>
      </c>
      <c r="U6" s="11" t="n">
        <v>70.29</v>
      </c>
      <c r="V6" s="11" t="n">
        <v>70.65</v>
      </c>
      <c r="W6" s="11" t="n">
        <v>63.64</v>
      </c>
      <c r="X6" s="11" t="n">
        <v>67.46</v>
      </c>
      <c r="Y6" s="11" t="n">
        <v>64.21</v>
      </c>
      <c r="Z6" s="11" t="n">
        <v>58.43</v>
      </c>
      <c r="AA6" s="11" t="n">
        <v>62.31</v>
      </c>
      <c r="AB6" s="11" t="n">
        <v>69.07</v>
      </c>
      <c r="AC6" s="11" t="n">
        <v>69.3</v>
      </c>
      <c r="AD6" s="11" t="n">
        <v>69.58</v>
      </c>
      <c r="AE6" s="11" t="n">
        <v>63.81</v>
      </c>
      <c r="AF6" s="11" t="n">
        <v>65.58</v>
      </c>
      <c r="AG6" s="11" t="n">
        <v>72.56</v>
      </c>
      <c r="AH6" s="11" t="n">
        <v>83.33</v>
      </c>
      <c r="AI6" s="11" t="n">
        <v>88.55</v>
      </c>
      <c r="AJ6" s="11" t="n">
        <v>94.89</v>
      </c>
      <c r="AK6" s="11" t="n">
        <v>76.2</v>
      </c>
      <c r="AL6" s="11" t="n">
        <v>66.68</v>
      </c>
      <c r="AM6" s="11" t="n">
        <v>67.05</v>
      </c>
      <c r="AN6" s="11" t="n">
        <v>68.14</v>
      </c>
      <c r="AO6" s="11" t="n">
        <v>76.27</v>
      </c>
      <c r="AP6" s="11" t="n">
        <v>83.93</v>
      </c>
      <c r="AQ6" s="11" t="n">
        <v>90.07</v>
      </c>
      <c r="AR6" s="11" t="n">
        <v>90.52</v>
      </c>
      <c r="AS6" s="11" t="n">
        <v>97</v>
      </c>
      <c r="AT6" s="11" t="n">
        <v>87.86</v>
      </c>
      <c r="AU6" s="11" t="n">
        <v>66.35</v>
      </c>
      <c r="AV6" s="11" t="n">
        <v>69.89</v>
      </c>
      <c r="AW6" s="11" t="n">
        <v>71.97</v>
      </c>
      <c r="AX6" s="11" t="n">
        <v>66.91</v>
      </c>
      <c r="AY6" s="11" t="n">
        <v>71.06</v>
      </c>
      <c r="AZ6" s="11" t="n">
        <v>79.42</v>
      </c>
      <c r="BA6" s="11" t="n">
        <v>74.61</v>
      </c>
      <c r="BB6" s="11" t="n">
        <v>77.24</v>
      </c>
      <c r="BC6" s="11" t="n">
        <v>69.38</v>
      </c>
      <c r="BD6" s="11" t="n">
        <v>66.66</v>
      </c>
      <c r="BE6" s="11" t="n">
        <v>69.34</v>
      </c>
      <c r="BF6" s="11" t="n">
        <v>76.13</v>
      </c>
      <c r="BG6" s="11" t="n">
        <v>68.34</v>
      </c>
      <c r="BH6" s="11" t="n">
        <v>83.49</v>
      </c>
      <c r="BI6" s="11" t="n">
        <v>70.7</v>
      </c>
      <c r="BJ6" s="11" t="n">
        <v>71.65</v>
      </c>
      <c r="BK6" s="11" t="n">
        <v>72.49</v>
      </c>
      <c r="BL6" s="11" t="n">
        <v>75.61</v>
      </c>
      <c r="BM6" s="11" t="n">
        <v>80.06</v>
      </c>
      <c r="BN6" s="11" t="n">
        <v>80.33</v>
      </c>
      <c r="BO6" s="11" t="n">
        <v>75.94</v>
      </c>
      <c r="BP6" s="11" t="n">
        <v>72.44</v>
      </c>
      <c r="BQ6" s="11" t="n">
        <v>76.76</v>
      </c>
    </row>
    <row r="7" customFormat="false" ht="15" hidden="false" customHeight="false" outlineLevel="0" collapsed="false">
      <c r="A7" s="8" t="s">
        <v>93</v>
      </c>
      <c r="B7" s="9" t="s">
        <v>94</v>
      </c>
      <c r="C7" s="10" t="s">
        <v>87</v>
      </c>
      <c r="D7" s="8" t="n">
        <v>0.4</v>
      </c>
      <c r="E7" s="11" t="n">
        <v>45.56</v>
      </c>
      <c r="F7" s="11" t="n">
        <v>69.54</v>
      </c>
      <c r="G7" s="11" t="n">
        <v>85.25</v>
      </c>
      <c r="H7" s="11" t="n">
        <v>87.15</v>
      </c>
      <c r="I7" s="11" t="n">
        <v>66.58</v>
      </c>
      <c r="J7" s="11" t="n">
        <v>49.04</v>
      </c>
      <c r="K7" s="11" t="n">
        <v>59.55</v>
      </c>
      <c r="L7" s="11" t="n">
        <v>87.66</v>
      </c>
      <c r="M7" s="11" t="n">
        <v>111.22</v>
      </c>
      <c r="N7" s="11" t="n">
        <v>57.93</v>
      </c>
      <c r="O7" s="11" t="n">
        <v>88.92</v>
      </c>
      <c r="P7" s="11" t="n">
        <v>76.7</v>
      </c>
      <c r="Q7" s="11" t="n">
        <v>74.65</v>
      </c>
      <c r="R7" s="11" t="n">
        <v>76.82</v>
      </c>
      <c r="S7" s="11" t="n">
        <v>87.61</v>
      </c>
      <c r="T7" s="11" t="n">
        <v>97.78</v>
      </c>
      <c r="U7" s="11" t="n">
        <v>107.25</v>
      </c>
      <c r="V7" s="11" t="n">
        <v>86.48</v>
      </c>
      <c r="W7" s="11" t="n">
        <v>127.14</v>
      </c>
      <c r="X7" s="11" t="n">
        <v>167.94</v>
      </c>
      <c r="Y7" s="11" t="n">
        <v>296.85</v>
      </c>
      <c r="Z7" s="11" t="n">
        <v>113.78</v>
      </c>
      <c r="AA7" s="11" t="n">
        <v>62.45</v>
      </c>
      <c r="AB7" s="11" t="n">
        <v>49.97</v>
      </c>
      <c r="AC7" s="11" t="n">
        <v>50.35</v>
      </c>
      <c r="AD7" s="11" t="n">
        <v>57.75</v>
      </c>
      <c r="AE7" s="11" t="n">
        <v>71.71</v>
      </c>
      <c r="AF7" s="11" t="n">
        <v>96.08</v>
      </c>
      <c r="AG7" s="11" t="n">
        <v>93.68</v>
      </c>
      <c r="AH7" s="11" t="n">
        <v>84.64</v>
      </c>
      <c r="AI7" s="11" t="n">
        <v>80.56</v>
      </c>
      <c r="AJ7" s="11" t="n">
        <v>171.35</v>
      </c>
      <c r="AK7" s="11" t="n">
        <v>159.44</v>
      </c>
      <c r="AL7" s="11" t="n">
        <v>121.93</v>
      </c>
      <c r="AM7" s="11" t="n">
        <v>70.95</v>
      </c>
      <c r="AN7" s="11" t="n">
        <v>65.64</v>
      </c>
      <c r="AO7" s="11" t="n">
        <v>67.33</v>
      </c>
      <c r="AP7" s="11" t="n">
        <v>85.04</v>
      </c>
      <c r="AQ7" s="11" t="n">
        <v>115.66</v>
      </c>
      <c r="AR7" s="11" t="n">
        <v>150.17</v>
      </c>
      <c r="AS7" s="11" t="n">
        <v>121.66</v>
      </c>
      <c r="AT7" s="11" t="n">
        <v>66.53</v>
      </c>
      <c r="AU7" s="11" t="n">
        <v>100.16</v>
      </c>
      <c r="AV7" s="11" t="n">
        <v>173.28</v>
      </c>
      <c r="AW7" s="11" t="n">
        <v>279</v>
      </c>
      <c r="AX7" s="11" t="n">
        <v>150.39</v>
      </c>
      <c r="AY7" s="11" t="n">
        <v>86.73</v>
      </c>
      <c r="AZ7" s="11" t="n">
        <v>92.72</v>
      </c>
      <c r="BA7" s="11" t="n">
        <v>131.86</v>
      </c>
      <c r="BB7" s="11" t="n">
        <v>140.87</v>
      </c>
      <c r="BC7" s="11" t="n">
        <v>143.62</v>
      </c>
      <c r="BD7" s="11" t="n">
        <v>132.71</v>
      </c>
      <c r="BE7" s="11" t="n">
        <v>54.66</v>
      </c>
      <c r="BF7" s="11" t="n">
        <v>71.66</v>
      </c>
      <c r="BG7" s="11" t="n">
        <v>108.7</v>
      </c>
      <c r="BH7" s="11" t="n">
        <v>147.33</v>
      </c>
      <c r="BI7" s="11" t="n">
        <v>160.22</v>
      </c>
      <c r="BJ7" s="11" t="n">
        <v>118.35</v>
      </c>
      <c r="BK7" s="11" t="n">
        <v>114.97</v>
      </c>
      <c r="BL7" s="11" t="n">
        <v>111.63</v>
      </c>
      <c r="BM7" s="11" t="n">
        <v>95.04</v>
      </c>
      <c r="BN7" s="11" t="n">
        <v>95.13</v>
      </c>
      <c r="BO7" s="11" t="n">
        <v>93.85</v>
      </c>
      <c r="BP7" s="11" t="n">
        <v>88.91</v>
      </c>
      <c r="BQ7" s="11" t="n">
        <v>62.52</v>
      </c>
    </row>
    <row r="8" customFormat="false" ht="15" hidden="false" customHeight="false" outlineLevel="0" collapsed="false">
      <c r="A8" s="8" t="s">
        <v>93</v>
      </c>
      <c r="B8" s="9" t="s">
        <v>95</v>
      </c>
      <c r="C8" s="10" t="s">
        <v>87</v>
      </c>
      <c r="D8" s="8" t="n">
        <v>0.1</v>
      </c>
      <c r="E8" s="11" t="n">
        <v>95.48</v>
      </c>
      <c r="F8" s="11" t="n">
        <v>82.82</v>
      </c>
      <c r="G8" s="11" t="n">
        <v>65.39</v>
      </c>
      <c r="H8" s="11" t="n">
        <v>73.46</v>
      </c>
      <c r="I8" s="11" t="n">
        <v>87.74</v>
      </c>
      <c r="J8" s="11" t="n">
        <v>101.41</v>
      </c>
      <c r="K8" s="11" t="n">
        <v>178.52</v>
      </c>
      <c r="L8" s="11" t="n">
        <v>332.41</v>
      </c>
      <c r="M8" s="11" t="n">
        <v>209.33</v>
      </c>
      <c r="N8" s="11" t="n">
        <v>158.2</v>
      </c>
      <c r="O8" s="11" t="n">
        <v>91.29</v>
      </c>
      <c r="P8" s="11" t="n">
        <v>68.23</v>
      </c>
      <c r="Q8" s="11" t="n">
        <v>88.99</v>
      </c>
      <c r="R8" s="11" t="n">
        <v>125.07</v>
      </c>
      <c r="S8" s="11" t="n">
        <v>97.06</v>
      </c>
      <c r="T8" s="11" t="n">
        <v>79.09</v>
      </c>
      <c r="U8" s="11" t="n">
        <v>88.44</v>
      </c>
      <c r="V8" s="11" t="n">
        <v>108.85</v>
      </c>
      <c r="W8" s="11" t="n">
        <v>330.86</v>
      </c>
      <c r="X8" s="11" t="n">
        <v>436.35</v>
      </c>
      <c r="Y8" s="11" t="n">
        <v>276.77</v>
      </c>
      <c r="Z8" s="11" t="n">
        <v>101.22</v>
      </c>
      <c r="AA8" s="11" t="n">
        <v>56.97</v>
      </c>
      <c r="AB8" s="11" t="n">
        <v>60.47</v>
      </c>
      <c r="AC8" s="11" t="n">
        <v>88.67</v>
      </c>
      <c r="AD8" s="11" t="n">
        <v>92.17</v>
      </c>
      <c r="AE8" s="11" t="n">
        <v>76.28</v>
      </c>
      <c r="AF8" s="11" t="n">
        <v>79.43</v>
      </c>
      <c r="AG8" s="11" t="n">
        <v>97.8</v>
      </c>
      <c r="AH8" s="11" t="n">
        <v>115.35</v>
      </c>
      <c r="AI8" s="11" t="n">
        <v>314.34</v>
      </c>
      <c r="AJ8" s="11" t="n">
        <v>492.55</v>
      </c>
      <c r="AK8" s="11" t="n">
        <v>435.4</v>
      </c>
      <c r="AL8" s="11" t="n">
        <v>116.34</v>
      </c>
      <c r="AM8" s="11" t="n">
        <v>77.47</v>
      </c>
      <c r="AN8" s="11" t="n">
        <v>87.14</v>
      </c>
      <c r="AO8" s="11" t="n">
        <v>112.47</v>
      </c>
      <c r="AP8" s="11" t="n">
        <v>121.77</v>
      </c>
      <c r="AQ8" s="11" t="n">
        <v>133.57</v>
      </c>
      <c r="AR8" s="11" t="n">
        <v>83.95</v>
      </c>
      <c r="AS8" s="11" t="n">
        <v>77</v>
      </c>
      <c r="AT8" s="11" t="n">
        <v>96.93</v>
      </c>
      <c r="AU8" s="11" t="n">
        <v>201.16</v>
      </c>
      <c r="AV8" s="11" t="n">
        <v>451.5</v>
      </c>
      <c r="AW8" s="11" t="n">
        <v>569.84</v>
      </c>
      <c r="AX8" s="11" t="n">
        <v>215.72</v>
      </c>
      <c r="AY8" s="11" t="n">
        <v>93.06</v>
      </c>
      <c r="AZ8" s="11" t="n">
        <v>72.63</v>
      </c>
      <c r="BA8" s="11" t="n">
        <v>105.51</v>
      </c>
      <c r="BB8" s="11" t="n">
        <v>114.23</v>
      </c>
      <c r="BC8" s="11" t="n">
        <v>88.83</v>
      </c>
      <c r="BD8" s="11" t="n">
        <v>61.64</v>
      </c>
      <c r="BE8" s="11" t="n">
        <v>74.43</v>
      </c>
      <c r="BF8" s="11" t="n">
        <v>106.8</v>
      </c>
      <c r="BG8" s="11" t="n">
        <v>290.06</v>
      </c>
      <c r="BH8" s="11" t="n">
        <v>379.15</v>
      </c>
      <c r="BI8" s="11" t="n">
        <v>388.93</v>
      </c>
      <c r="BJ8" s="11" t="n">
        <v>204.04</v>
      </c>
      <c r="BK8" s="11" t="n">
        <v>135.16</v>
      </c>
      <c r="BL8" s="11" t="n">
        <v>89.36</v>
      </c>
      <c r="BM8" s="11" t="n">
        <v>101.71</v>
      </c>
      <c r="BN8" s="11" t="n">
        <v>103.69</v>
      </c>
      <c r="BO8" s="11" t="n">
        <v>60.68</v>
      </c>
      <c r="BP8" s="11" t="n">
        <v>65.55</v>
      </c>
      <c r="BQ8" s="11" t="n">
        <v>71.57</v>
      </c>
    </row>
    <row r="9" customFormat="false" ht="15" hidden="false" customHeight="false" outlineLevel="0" collapsed="false">
      <c r="A9" s="8" t="s">
        <v>93</v>
      </c>
      <c r="B9" s="9" t="s">
        <v>96</v>
      </c>
      <c r="C9" s="10" t="s">
        <v>87</v>
      </c>
      <c r="D9" s="8" t="n">
        <v>0.1</v>
      </c>
      <c r="E9" s="11" t="n">
        <v>134.14</v>
      </c>
      <c r="F9" s="11" t="n">
        <v>83.13</v>
      </c>
      <c r="G9" s="11" t="n">
        <v>64.27</v>
      </c>
      <c r="H9" s="11" t="n">
        <v>73.7</v>
      </c>
      <c r="I9" s="11" t="n">
        <v>84.78</v>
      </c>
      <c r="J9" s="11" t="n">
        <v>108.5</v>
      </c>
      <c r="K9" s="11" t="n">
        <v>163.99</v>
      </c>
      <c r="L9" s="11" t="n">
        <v>209.4</v>
      </c>
      <c r="M9" s="11" t="n">
        <v>281.33</v>
      </c>
      <c r="N9" s="11" t="n">
        <v>218.28</v>
      </c>
      <c r="O9" s="11" t="n">
        <v>86.15</v>
      </c>
      <c r="P9" s="11" t="n">
        <v>82.38</v>
      </c>
      <c r="Q9" s="11" t="n">
        <v>119.18</v>
      </c>
      <c r="R9" s="11" t="n">
        <v>74.95</v>
      </c>
      <c r="S9" s="11" t="n">
        <v>72.81</v>
      </c>
      <c r="T9" s="11" t="n">
        <v>84.93</v>
      </c>
      <c r="U9" s="11" t="n">
        <v>75.95</v>
      </c>
      <c r="V9" s="11" t="n">
        <v>125.84</v>
      </c>
      <c r="W9" s="11" t="n">
        <v>310.3</v>
      </c>
      <c r="X9" s="11" t="n">
        <v>280.54</v>
      </c>
      <c r="Y9" s="11" t="n">
        <v>159.59</v>
      </c>
      <c r="Z9" s="11" t="n">
        <v>89.12</v>
      </c>
      <c r="AA9" s="11" t="n">
        <v>55.52</v>
      </c>
      <c r="AB9" s="11" t="n">
        <v>120.67</v>
      </c>
      <c r="AC9" s="11" t="n">
        <v>157.78</v>
      </c>
      <c r="AD9" s="11" t="n">
        <v>101.75</v>
      </c>
      <c r="AE9" s="11" t="n">
        <v>87.1</v>
      </c>
      <c r="AF9" s="11" t="n">
        <v>77</v>
      </c>
      <c r="AG9" s="11" t="n">
        <v>73.28</v>
      </c>
      <c r="AH9" s="11" t="n">
        <v>108.66</v>
      </c>
      <c r="AI9" s="11" t="n">
        <v>323.06</v>
      </c>
      <c r="AJ9" s="11" t="n">
        <v>227.75</v>
      </c>
      <c r="AK9" s="11" t="n">
        <v>209.93</v>
      </c>
      <c r="AL9" s="11" t="n">
        <v>152.16</v>
      </c>
      <c r="AM9" s="11" t="n">
        <v>103.8</v>
      </c>
      <c r="AN9" s="11" t="n">
        <v>81.38</v>
      </c>
      <c r="AO9" s="11" t="n">
        <v>124.94</v>
      </c>
      <c r="AP9" s="11" t="n">
        <v>85.47</v>
      </c>
      <c r="AQ9" s="11" t="n">
        <v>99.2</v>
      </c>
      <c r="AR9" s="11" t="n">
        <v>68.76</v>
      </c>
      <c r="AS9" s="11" t="n">
        <v>72.75</v>
      </c>
      <c r="AT9" s="11" t="n">
        <v>83.87</v>
      </c>
      <c r="AU9" s="11" t="n">
        <v>227.65</v>
      </c>
      <c r="AV9" s="11" t="n">
        <v>258.28</v>
      </c>
      <c r="AW9" s="11" t="n">
        <v>373.71</v>
      </c>
      <c r="AX9" s="11" t="n">
        <v>276.91</v>
      </c>
      <c r="AY9" s="11" t="n">
        <v>99.49</v>
      </c>
      <c r="AZ9" s="11" t="n">
        <v>67.11</v>
      </c>
      <c r="BA9" s="11" t="n">
        <v>75.94</v>
      </c>
      <c r="BB9" s="11" t="n">
        <v>71.17</v>
      </c>
      <c r="BC9" s="11" t="n">
        <v>65.16</v>
      </c>
      <c r="BD9" s="11" t="n">
        <v>65.65</v>
      </c>
      <c r="BE9" s="11" t="n">
        <v>82.87</v>
      </c>
      <c r="BF9" s="11" t="n">
        <v>92.49</v>
      </c>
      <c r="BG9" s="11" t="n">
        <v>157.41</v>
      </c>
      <c r="BH9" s="11" t="n">
        <v>181.26</v>
      </c>
      <c r="BI9" s="11" t="n">
        <v>251.72</v>
      </c>
      <c r="BJ9" s="11" t="n">
        <v>226.96</v>
      </c>
      <c r="BK9" s="11" t="n">
        <v>130.04</v>
      </c>
      <c r="BL9" s="11" t="n">
        <v>87.68</v>
      </c>
      <c r="BM9" s="11" t="n">
        <v>146.01</v>
      </c>
      <c r="BN9" s="11" t="n">
        <v>89.81</v>
      </c>
      <c r="BO9" s="11" t="n">
        <v>57.42</v>
      </c>
      <c r="BP9" s="11" t="n">
        <v>65.13</v>
      </c>
      <c r="BQ9" s="11" t="n">
        <v>77.34</v>
      </c>
    </row>
    <row r="10" customFormat="false" ht="15" hidden="false" customHeight="false" outlineLevel="0" collapsed="false">
      <c r="A10" s="8" t="s">
        <v>93</v>
      </c>
      <c r="B10" s="9" t="s">
        <v>97</v>
      </c>
      <c r="C10" s="10" t="s">
        <v>87</v>
      </c>
      <c r="D10" s="8" t="n">
        <v>0.1</v>
      </c>
      <c r="E10" s="11" t="n">
        <v>165.98</v>
      </c>
      <c r="F10" s="11" t="n">
        <v>127.65</v>
      </c>
      <c r="G10" s="11" t="n">
        <v>86.94</v>
      </c>
      <c r="H10" s="11" t="n">
        <v>64.93</v>
      </c>
      <c r="I10" s="11" t="n">
        <v>53.27</v>
      </c>
      <c r="J10" s="11" t="n">
        <v>49.28</v>
      </c>
      <c r="K10" s="11" t="n">
        <v>61.8</v>
      </c>
      <c r="L10" s="11" t="n">
        <v>91.33</v>
      </c>
      <c r="M10" s="11" t="n">
        <v>108.6</v>
      </c>
      <c r="N10" s="11" t="n">
        <v>110.24</v>
      </c>
      <c r="O10" s="11" t="n">
        <v>183.53</v>
      </c>
      <c r="P10" s="11" t="n">
        <v>157.09</v>
      </c>
      <c r="Q10" s="11" t="n">
        <v>161.44</v>
      </c>
      <c r="R10" s="11" t="n">
        <v>132.47</v>
      </c>
      <c r="S10" s="11" t="n">
        <v>124.35</v>
      </c>
      <c r="T10" s="11" t="n">
        <v>113.13</v>
      </c>
      <c r="U10" s="11" t="n">
        <v>67.39</v>
      </c>
      <c r="V10" s="11" t="n">
        <v>57.33</v>
      </c>
      <c r="W10" s="11" t="n">
        <v>106.41</v>
      </c>
      <c r="X10" s="11" t="n">
        <v>133.38</v>
      </c>
      <c r="Y10" s="11" t="n">
        <v>108.55</v>
      </c>
      <c r="Z10" s="11" t="n">
        <v>123.12</v>
      </c>
      <c r="AA10" s="11" t="n">
        <v>141.11</v>
      </c>
      <c r="AB10" s="11" t="n">
        <v>151.37</v>
      </c>
      <c r="AC10" s="11" t="n">
        <v>259.75</v>
      </c>
      <c r="AD10" s="11" t="n">
        <v>189.92</v>
      </c>
      <c r="AE10" s="11" t="n">
        <v>126.88</v>
      </c>
      <c r="AF10" s="11" t="n">
        <v>96.42</v>
      </c>
      <c r="AG10" s="11" t="n">
        <v>77.65</v>
      </c>
      <c r="AH10" s="11" t="n">
        <v>52.25</v>
      </c>
      <c r="AI10" s="11" t="n">
        <v>76.56</v>
      </c>
      <c r="AJ10" s="11" t="n">
        <v>148.78</v>
      </c>
      <c r="AK10" s="11" t="n">
        <v>84.03</v>
      </c>
      <c r="AL10" s="11" t="n">
        <v>128.39</v>
      </c>
      <c r="AM10" s="11" t="n">
        <v>176.5</v>
      </c>
      <c r="AN10" s="11" t="n">
        <v>212.4</v>
      </c>
      <c r="AO10" s="11" t="n">
        <v>194.71</v>
      </c>
      <c r="AP10" s="11" t="n">
        <v>209.13</v>
      </c>
      <c r="AQ10" s="11" t="n">
        <v>213.31</v>
      </c>
      <c r="AR10" s="11" t="n">
        <v>95.09</v>
      </c>
      <c r="AS10" s="11" t="n">
        <v>63.15</v>
      </c>
      <c r="AT10" s="11" t="n">
        <v>51.93</v>
      </c>
      <c r="AU10" s="11" t="n">
        <v>56.52</v>
      </c>
      <c r="AV10" s="11" t="n">
        <v>154.22</v>
      </c>
      <c r="AW10" s="11" t="n">
        <v>104.71</v>
      </c>
      <c r="AX10" s="11" t="n">
        <v>106.2</v>
      </c>
      <c r="AY10" s="11" t="n">
        <v>186.44</v>
      </c>
      <c r="AZ10" s="11" t="n">
        <v>229.18</v>
      </c>
      <c r="BA10" s="11" t="n">
        <v>214.24</v>
      </c>
      <c r="BB10" s="11" t="n">
        <v>210.66</v>
      </c>
      <c r="BC10" s="11" t="n">
        <v>162.05</v>
      </c>
      <c r="BD10" s="11" t="n">
        <v>92.22</v>
      </c>
      <c r="BE10" s="11" t="n">
        <v>68.71</v>
      </c>
      <c r="BF10" s="11" t="n">
        <v>47.42</v>
      </c>
      <c r="BG10" s="11" t="n">
        <v>77.21</v>
      </c>
      <c r="BH10" s="11" t="n">
        <v>100.08</v>
      </c>
      <c r="BI10" s="11" t="n">
        <v>82.76</v>
      </c>
      <c r="BJ10" s="11" t="n">
        <v>127.58</v>
      </c>
      <c r="BK10" s="11" t="n">
        <v>248.11</v>
      </c>
      <c r="BL10" s="11" t="n">
        <v>154.44</v>
      </c>
      <c r="BM10" s="11" t="n">
        <v>126.97</v>
      </c>
      <c r="BN10" s="11" t="n">
        <v>172.02</v>
      </c>
      <c r="BO10" s="11" t="n">
        <v>115</v>
      </c>
      <c r="BP10" s="11" t="n">
        <v>73.85</v>
      </c>
      <c r="BQ10" s="11" t="n">
        <v>44.71</v>
      </c>
    </row>
    <row r="11" customFormat="false" ht="15" hidden="false" customHeight="false" outlineLevel="0" collapsed="false">
      <c r="A11" s="8" t="s">
        <v>93</v>
      </c>
      <c r="B11" s="9" t="s">
        <v>98</v>
      </c>
      <c r="C11" s="10" t="s">
        <v>87</v>
      </c>
      <c r="D11" s="8" t="n">
        <v>0.3</v>
      </c>
      <c r="E11" s="11" t="n">
        <v>42.95</v>
      </c>
      <c r="F11" s="11" t="n">
        <v>75.65</v>
      </c>
      <c r="G11" s="11" t="n">
        <v>121.89</v>
      </c>
      <c r="H11" s="11" t="n">
        <v>110.22</v>
      </c>
      <c r="I11" s="11" t="n">
        <v>103.14</v>
      </c>
      <c r="J11" s="11" t="n">
        <v>88.43</v>
      </c>
      <c r="K11" s="11" t="n">
        <v>123.85</v>
      </c>
      <c r="L11" s="11" t="n">
        <v>116.36</v>
      </c>
      <c r="M11" s="11" t="n">
        <v>80.04</v>
      </c>
      <c r="N11" s="11" t="n">
        <v>62.88</v>
      </c>
      <c r="O11" s="11" t="n">
        <v>91.9</v>
      </c>
      <c r="P11" s="11" t="n">
        <v>106.78</v>
      </c>
      <c r="Q11" s="11" t="n">
        <v>100.41</v>
      </c>
      <c r="R11" s="11" t="n">
        <v>110.97</v>
      </c>
      <c r="S11" s="11" t="n">
        <v>113.94</v>
      </c>
      <c r="T11" s="11" t="n">
        <v>117.3</v>
      </c>
      <c r="U11" s="11" t="n">
        <v>140.49</v>
      </c>
      <c r="V11" s="11" t="n">
        <v>113.23</v>
      </c>
      <c r="W11" s="11" t="n">
        <v>151.77</v>
      </c>
      <c r="X11" s="11" t="n">
        <v>163.26</v>
      </c>
      <c r="Y11" s="11" t="n">
        <v>111.63</v>
      </c>
      <c r="Z11" s="11" t="n">
        <v>97.04</v>
      </c>
      <c r="AA11" s="11" t="n">
        <v>103.01</v>
      </c>
      <c r="AB11" s="11" t="n">
        <v>111.09</v>
      </c>
      <c r="AC11" s="11" t="n">
        <v>120.79</v>
      </c>
      <c r="AD11" s="11" t="n">
        <v>176.5</v>
      </c>
      <c r="AE11" s="11" t="n">
        <v>166.83</v>
      </c>
      <c r="AF11" s="11" t="n">
        <v>128.95</v>
      </c>
      <c r="AG11" s="11" t="n">
        <v>127.23</v>
      </c>
      <c r="AH11" s="11" t="n">
        <v>111.77</v>
      </c>
      <c r="AI11" s="11" t="n">
        <v>131.63</v>
      </c>
      <c r="AJ11" s="11" t="n">
        <v>188.49</v>
      </c>
      <c r="AK11" s="11" t="n">
        <v>128.49</v>
      </c>
      <c r="AL11" s="11" t="n">
        <v>95.13</v>
      </c>
      <c r="AM11" s="11" t="n">
        <v>104.97</v>
      </c>
      <c r="AN11" s="11" t="n">
        <v>115.18</v>
      </c>
      <c r="AO11" s="11" t="n">
        <v>236.05</v>
      </c>
      <c r="AP11" s="11" t="n">
        <v>245.01</v>
      </c>
      <c r="AQ11" s="11" t="n">
        <v>232.34</v>
      </c>
      <c r="AR11" s="11" t="n">
        <v>221.53</v>
      </c>
      <c r="AS11" s="11" t="n">
        <v>137.62</v>
      </c>
      <c r="AT11" s="11" t="n">
        <v>108.52</v>
      </c>
      <c r="AU11" s="11" t="n">
        <v>130.06</v>
      </c>
      <c r="AV11" s="11" t="n">
        <v>175.12</v>
      </c>
      <c r="AW11" s="11" t="n">
        <v>122.55</v>
      </c>
      <c r="AX11" s="11" t="n">
        <v>119.18</v>
      </c>
      <c r="AY11" s="11" t="n">
        <v>119.95</v>
      </c>
      <c r="AZ11" s="11" t="n">
        <v>143.5</v>
      </c>
      <c r="BA11" s="11" t="n">
        <v>135.72</v>
      </c>
      <c r="BB11" s="11" t="n">
        <v>136.84</v>
      </c>
      <c r="BC11" s="11" t="n">
        <v>150.99</v>
      </c>
      <c r="BD11" s="11" t="n">
        <v>137.26</v>
      </c>
      <c r="BE11" s="11" t="n">
        <v>129.08</v>
      </c>
      <c r="BF11" s="11" t="n">
        <v>109.63</v>
      </c>
      <c r="BG11" s="11" t="n">
        <v>176.28</v>
      </c>
      <c r="BH11" s="11" t="n">
        <v>174.34</v>
      </c>
      <c r="BI11" s="11" t="n">
        <v>128.15</v>
      </c>
      <c r="BJ11" s="11" t="n">
        <v>102</v>
      </c>
      <c r="BK11" s="11" t="n">
        <v>112.69</v>
      </c>
      <c r="BL11" s="11" t="n">
        <v>114.91</v>
      </c>
      <c r="BM11" s="11" t="n">
        <v>97.93</v>
      </c>
      <c r="BN11" s="11" t="n">
        <v>141.18</v>
      </c>
      <c r="BO11" s="11" t="n">
        <v>151.82</v>
      </c>
      <c r="BP11" s="11" t="n">
        <v>146.96</v>
      </c>
      <c r="BQ11" s="11" t="n">
        <v>144.72</v>
      </c>
    </row>
    <row r="12" customFormat="false" ht="15" hidden="false" customHeight="false" outlineLevel="0" collapsed="false">
      <c r="A12" s="8" t="s">
        <v>93</v>
      </c>
      <c r="B12" s="9" t="s">
        <v>99</v>
      </c>
      <c r="C12" s="10" t="s">
        <v>87</v>
      </c>
      <c r="D12" s="8" t="n">
        <v>0.2</v>
      </c>
      <c r="E12" s="11" t="n">
        <v>129.36</v>
      </c>
      <c r="F12" s="11" t="n">
        <v>110.4</v>
      </c>
      <c r="G12" s="11" t="n">
        <v>152.32</v>
      </c>
      <c r="H12" s="11" t="n">
        <v>119.82</v>
      </c>
      <c r="I12" s="11" t="n">
        <v>84.62</v>
      </c>
      <c r="J12" s="11" t="n">
        <v>84.32</v>
      </c>
      <c r="K12" s="11" t="n">
        <v>58.22</v>
      </c>
      <c r="L12" s="11" t="n">
        <v>79</v>
      </c>
      <c r="M12" s="11" t="n">
        <v>65.3</v>
      </c>
      <c r="N12" s="11" t="n">
        <v>65.3</v>
      </c>
      <c r="O12" s="11" t="n">
        <v>65.3</v>
      </c>
      <c r="P12" s="11" t="n">
        <v>65.3</v>
      </c>
      <c r="Q12" s="11" t="n">
        <v>65.3</v>
      </c>
      <c r="R12" s="11" t="n">
        <v>65.3</v>
      </c>
      <c r="S12" s="11" t="n">
        <v>144.49</v>
      </c>
      <c r="T12" s="11" t="n">
        <v>142.86</v>
      </c>
      <c r="U12" s="11" t="n">
        <v>80.87</v>
      </c>
      <c r="V12" s="11" t="n">
        <v>64.16</v>
      </c>
      <c r="W12" s="11" t="n">
        <v>73.67</v>
      </c>
      <c r="X12" s="11" t="n">
        <v>83.19</v>
      </c>
      <c r="Y12" s="11" t="n">
        <v>83.19</v>
      </c>
      <c r="Z12" s="11" t="n">
        <v>83.19</v>
      </c>
      <c r="AA12" s="11" t="n">
        <v>83.19</v>
      </c>
      <c r="AB12" s="11" t="n">
        <v>83.19</v>
      </c>
      <c r="AC12" s="11" t="n">
        <v>83.19</v>
      </c>
      <c r="AD12" s="11" t="n">
        <v>83.19</v>
      </c>
      <c r="AE12" s="11" t="n">
        <v>159.22</v>
      </c>
      <c r="AF12" s="11" t="n">
        <v>123.5</v>
      </c>
      <c r="AG12" s="11" t="n">
        <v>87.29</v>
      </c>
      <c r="AH12" s="11" t="n">
        <v>86.68</v>
      </c>
      <c r="AI12" s="11" t="n">
        <v>69.65</v>
      </c>
      <c r="AJ12" s="11" t="n">
        <v>130.32</v>
      </c>
      <c r="AK12" s="11" t="n">
        <v>130.32</v>
      </c>
      <c r="AL12" s="11" t="n">
        <v>130.32</v>
      </c>
      <c r="AM12" s="11" t="n">
        <v>130.32</v>
      </c>
      <c r="AN12" s="11" t="n">
        <v>130.32</v>
      </c>
      <c r="AO12" s="11" t="n">
        <v>130.32</v>
      </c>
      <c r="AP12" s="11" t="n">
        <v>130.32</v>
      </c>
      <c r="AQ12" s="11" t="n">
        <v>184.86</v>
      </c>
      <c r="AR12" s="11" t="n">
        <v>188.09</v>
      </c>
      <c r="AS12" s="11" t="n">
        <v>89.57</v>
      </c>
      <c r="AT12" s="11" t="n">
        <v>64.38</v>
      </c>
      <c r="AU12" s="11" t="n">
        <v>55.28</v>
      </c>
      <c r="AV12" s="11" t="n">
        <v>68.89</v>
      </c>
      <c r="AW12" s="11" t="n">
        <v>68.89</v>
      </c>
      <c r="AX12" s="11" t="n">
        <v>68.89</v>
      </c>
      <c r="AY12" s="11" t="n">
        <v>68.89</v>
      </c>
      <c r="AZ12" s="11" t="n">
        <v>68.89</v>
      </c>
      <c r="BA12" s="11" t="n">
        <v>68.89</v>
      </c>
      <c r="BB12" s="11" t="n">
        <v>68.89</v>
      </c>
      <c r="BC12" s="11" t="n">
        <v>158.1</v>
      </c>
      <c r="BD12" s="11" t="n">
        <v>164.59</v>
      </c>
      <c r="BE12" s="11" t="n">
        <v>77.19</v>
      </c>
      <c r="BF12" s="11" t="n">
        <v>80.71</v>
      </c>
      <c r="BG12" s="11" t="n">
        <v>61.12</v>
      </c>
      <c r="BH12" s="11" t="n">
        <v>72.27</v>
      </c>
      <c r="BI12" s="11" t="n">
        <v>72.27</v>
      </c>
      <c r="BJ12" s="11" t="n">
        <v>72.27</v>
      </c>
      <c r="BK12" s="11" t="n">
        <v>72.27</v>
      </c>
      <c r="BL12" s="11" t="n">
        <v>72.27</v>
      </c>
      <c r="BM12" s="11" t="n">
        <v>72.27</v>
      </c>
      <c r="BN12" s="11" t="n">
        <v>72.27</v>
      </c>
      <c r="BO12" s="11" t="n">
        <v>156.8</v>
      </c>
      <c r="BP12" s="11" t="n">
        <v>140.44</v>
      </c>
      <c r="BQ12" s="11" t="n">
        <v>86.21</v>
      </c>
    </row>
    <row r="13" customFormat="false" ht="15" hidden="false" customHeight="false" outlineLevel="0" collapsed="false">
      <c r="A13" s="8" t="s">
        <v>93</v>
      </c>
      <c r="B13" s="9" t="s">
        <v>100</v>
      </c>
      <c r="C13" s="10" t="s">
        <v>87</v>
      </c>
      <c r="D13" s="8" t="n">
        <v>0.3</v>
      </c>
      <c r="E13" s="11" t="n">
        <v>138.09</v>
      </c>
      <c r="F13" s="11" t="n">
        <v>135.27</v>
      </c>
      <c r="G13" s="11" t="n">
        <v>108.12</v>
      </c>
      <c r="H13" s="11" t="n">
        <v>68.48</v>
      </c>
      <c r="I13" s="11" t="n">
        <v>73.5</v>
      </c>
      <c r="J13" s="11" t="n">
        <v>64.32</v>
      </c>
      <c r="K13" s="11" t="n">
        <v>81.41</v>
      </c>
      <c r="L13" s="11" t="n">
        <v>112.91</v>
      </c>
      <c r="M13" s="11" t="n">
        <v>109.35</v>
      </c>
      <c r="N13" s="11" t="n">
        <v>130.05</v>
      </c>
      <c r="O13" s="11" t="n">
        <v>152.8</v>
      </c>
      <c r="P13" s="11" t="n">
        <v>149.73</v>
      </c>
      <c r="Q13" s="11" t="n">
        <v>165.41</v>
      </c>
      <c r="R13" s="11" t="n">
        <v>131.82</v>
      </c>
      <c r="S13" s="11" t="n">
        <v>130.39</v>
      </c>
      <c r="T13" s="11" t="n">
        <v>79.85</v>
      </c>
      <c r="U13" s="11" t="n">
        <v>61.32</v>
      </c>
      <c r="V13" s="11" t="n">
        <v>78.51</v>
      </c>
      <c r="W13" s="11" t="n">
        <v>157.39</v>
      </c>
      <c r="X13" s="11" t="n">
        <v>163.39</v>
      </c>
      <c r="Y13" s="11" t="n">
        <v>132.8</v>
      </c>
      <c r="Z13" s="11" t="n">
        <v>97.63</v>
      </c>
      <c r="AA13" s="11" t="n">
        <v>84.66</v>
      </c>
      <c r="AB13" s="11" t="n">
        <v>148.15</v>
      </c>
      <c r="AC13" s="11" t="n">
        <v>196.83</v>
      </c>
      <c r="AD13" s="11" t="n">
        <v>188.74</v>
      </c>
      <c r="AE13" s="11" t="n">
        <v>138.12</v>
      </c>
      <c r="AF13" s="11" t="n">
        <v>93.79</v>
      </c>
      <c r="AG13" s="11" t="n">
        <v>71.59</v>
      </c>
      <c r="AH13" s="11" t="n">
        <v>80.73</v>
      </c>
      <c r="AI13" s="11" t="n">
        <v>122.58</v>
      </c>
      <c r="AJ13" s="11" t="n">
        <v>140.27</v>
      </c>
      <c r="AK13" s="11" t="n">
        <v>144.54</v>
      </c>
      <c r="AL13" s="11" t="n">
        <v>114.93</v>
      </c>
      <c r="AM13" s="11" t="n">
        <v>141.65</v>
      </c>
      <c r="AN13" s="11" t="n">
        <v>169.72</v>
      </c>
      <c r="AO13" s="11" t="n">
        <v>217.29</v>
      </c>
      <c r="AP13" s="11" t="n">
        <v>220.04</v>
      </c>
      <c r="AQ13" s="11" t="n">
        <v>181.35</v>
      </c>
      <c r="AR13" s="11" t="n">
        <v>101.27</v>
      </c>
      <c r="AS13" s="11" t="n">
        <v>66.24</v>
      </c>
      <c r="AT13" s="11" t="n">
        <v>55.33</v>
      </c>
      <c r="AU13" s="11" t="n">
        <v>109.98</v>
      </c>
      <c r="AV13" s="11" t="n">
        <v>133.2</v>
      </c>
      <c r="AW13" s="11" t="n">
        <v>148.93</v>
      </c>
      <c r="AX13" s="11" t="n">
        <v>141.11</v>
      </c>
      <c r="AY13" s="11" t="n">
        <v>140.15</v>
      </c>
      <c r="AZ13" s="11" t="n">
        <v>141.02</v>
      </c>
      <c r="BA13" s="11" t="n">
        <v>174.16</v>
      </c>
      <c r="BB13" s="11" t="n">
        <v>159.72</v>
      </c>
      <c r="BC13" s="11" t="n">
        <v>138.65</v>
      </c>
      <c r="BD13" s="11" t="n">
        <v>89.93</v>
      </c>
      <c r="BE13" s="11" t="n">
        <v>75.98</v>
      </c>
      <c r="BF13" s="11" t="n">
        <v>75.78</v>
      </c>
      <c r="BG13" s="11" t="n">
        <v>85.09</v>
      </c>
      <c r="BH13" s="11" t="n">
        <v>113.87</v>
      </c>
      <c r="BI13" s="11" t="n">
        <v>126.41</v>
      </c>
      <c r="BJ13" s="11" t="n">
        <v>127.21</v>
      </c>
      <c r="BK13" s="11" t="n">
        <v>110.32</v>
      </c>
      <c r="BL13" s="11" t="n">
        <v>138.06</v>
      </c>
      <c r="BM13" s="11" t="n">
        <v>164.32</v>
      </c>
      <c r="BN13" s="11" t="n">
        <v>140.97</v>
      </c>
      <c r="BO13" s="11" t="n">
        <v>114.08</v>
      </c>
      <c r="BP13" s="11" t="n">
        <v>79.21</v>
      </c>
      <c r="BQ13" s="11" t="n">
        <v>51.88</v>
      </c>
    </row>
    <row r="14" customFormat="false" ht="15" hidden="false" customHeight="false" outlineLevel="0" collapsed="false">
      <c r="A14" s="8" t="s">
        <v>93</v>
      </c>
      <c r="B14" s="9" t="s">
        <v>101</v>
      </c>
      <c r="C14" s="10" t="s">
        <v>87</v>
      </c>
      <c r="D14" s="8" t="n">
        <v>0.2</v>
      </c>
      <c r="E14" s="11" t="n">
        <v>153.96</v>
      </c>
      <c r="F14" s="11" t="n">
        <v>143.75</v>
      </c>
      <c r="G14" s="11" t="n">
        <v>125.74</v>
      </c>
      <c r="H14" s="11" t="n">
        <v>72.22</v>
      </c>
      <c r="I14" s="11" t="n">
        <v>90.89</v>
      </c>
      <c r="J14" s="11" t="n">
        <v>74.16</v>
      </c>
      <c r="K14" s="11" t="n">
        <v>49.47</v>
      </c>
      <c r="L14" s="11" t="n">
        <v>92.87</v>
      </c>
      <c r="M14" s="11" t="n">
        <v>131.61</v>
      </c>
      <c r="N14" s="11" t="n">
        <v>131.09</v>
      </c>
      <c r="O14" s="11" t="n">
        <v>118.27</v>
      </c>
      <c r="P14" s="11" t="n">
        <v>130.34</v>
      </c>
      <c r="Q14" s="11" t="n">
        <v>147.14</v>
      </c>
      <c r="R14" s="11" t="n">
        <v>113.67</v>
      </c>
      <c r="S14" s="11" t="n">
        <v>114.13</v>
      </c>
      <c r="T14" s="11" t="n">
        <v>74.29</v>
      </c>
      <c r="U14" s="11" t="n">
        <v>60.57</v>
      </c>
      <c r="V14" s="11" t="n">
        <v>91.2</v>
      </c>
      <c r="W14" s="11" t="n">
        <v>130</v>
      </c>
      <c r="X14" s="11" t="n">
        <v>185.41</v>
      </c>
      <c r="Y14" s="11" t="n">
        <v>133.64</v>
      </c>
      <c r="Z14" s="11" t="n">
        <v>95.68</v>
      </c>
      <c r="AA14" s="11" t="n">
        <v>67.82</v>
      </c>
      <c r="AB14" s="11" t="n">
        <v>117.86</v>
      </c>
      <c r="AC14" s="11" t="n">
        <v>162.92</v>
      </c>
      <c r="AD14" s="11" t="n">
        <v>193.5</v>
      </c>
      <c r="AE14" s="11" t="n">
        <v>149.12</v>
      </c>
      <c r="AF14" s="11" t="n">
        <v>98.46</v>
      </c>
      <c r="AG14" s="11" t="n">
        <v>95.09</v>
      </c>
      <c r="AH14" s="11" t="n">
        <v>75.54</v>
      </c>
      <c r="AI14" s="11" t="n">
        <v>102.54</v>
      </c>
      <c r="AJ14" s="11" t="n">
        <v>113.03</v>
      </c>
      <c r="AK14" s="11" t="n">
        <v>125.96</v>
      </c>
      <c r="AL14" s="11" t="n">
        <v>104.11</v>
      </c>
      <c r="AM14" s="11" t="n">
        <v>106.86</v>
      </c>
      <c r="AN14" s="11" t="n">
        <v>123.48</v>
      </c>
      <c r="AO14" s="11" t="n">
        <v>176.71</v>
      </c>
      <c r="AP14" s="11" t="n">
        <v>201.32</v>
      </c>
      <c r="AQ14" s="11" t="n">
        <v>192.43</v>
      </c>
      <c r="AR14" s="11" t="n">
        <v>111.03</v>
      </c>
      <c r="AS14" s="11" t="n">
        <v>64.8</v>
      </c>
      <c r="AT14" s="11" t="n">
        <v>53.41</v>
      </c>
      <c r="AU14" s="11" t="n">
        <v>79.55</v>
      </c>
      <c r="AV14" s="11" t="n">
        <v>112.24</v>
      </c>
      <c r="AW14" s="11" t="n">
        <v>136.36</v>
      </c>
      <c r="AX14" s="11" t="n">
        <v>143.84</v>
      </c>
      <c r="AY14" s="11" t="n">
        <v>113.89</v>
      </c>
      <c r="AZ14" s="11" t="n">
        <v>116.48</v>
      </c>
      <c r="BA14" s="11" t="n">
        <v>150.28</v>
      </c>
      <c r="BB14" s="11" t="n">
        <v>148.26</v>
      </c>
      <c r="BC14" s="11" t="n">
        <v>135.61</v>
      </c>
      <c r="BD14" s="11" t="n">
        <v>83.52</v>
      </c>
      <c r="BE14" s="11" t="n">
        <v>82.57</v>
      </c>
      <c r="BF14" s="11" t="n">
        <v>86.25</v>
      </c>
      <c r="BG14" s="11" t="n">
        <v>63.07</v>
      </c>
      <c r="BH14" s="11" t="n">
        <v>91.63</v>
      </c>
      <c r="BI14" s="11" t="n">
        <v>108.55</v>
      </c>
      <c r="BJ14" s="11" t="n">
        <v>117.6</v>
      </c>
      <c r="BK14" s="11" t="n">
        <v>92.18</v>
      </c>
      <c r="BL14" s="11" t="n">
        <v>97.24</v>
      </c>
      <c r="BM14" s="11" t="n">
        <v>137.46</v>
      </c>
      <c r="BN14" s="11" t="n">
        <v>144.71</v>
      </c>
      <c r="BO14" s="11" t="n">
        <v>105.91</v>
      </c>
      <c r="BP14" s="11" t="n">
        <v>70.78</v>
      </c>
      <c r="BQ14" s="11" t="n">
        <v>50.59</v>
      </c>
    </row>
    <row r="15" customFormat="false" ht="15" hidden="false" customHeight="false" outlineLevel="0" collapsed="false">
      <c r="A15" s="8" t="s">
        <v>93</v>
      </c>
      <c r="B15" s="9" t="s">
        <v>102</v>
      </c>
      <c r="C15" s="10" t="s">
        <v>87</v>
      </c>
      <c r="D15" s="8" t="n">
        <v>0.4</v>
      </c>
      <c r="E15" s="11" t="n">
        <v>101.1</v>
      </c>
      <c r="F15" s="11" t="n">
        <v>86.76</v>
      </c>
      <c r="G15" s="11" t="n">
        <v>110.58</v>
      </c>
      <c r="H15" s="11" t="n">
        <v>100.46</v>
      </c>
      <c r="I15" s="11" t="n">
        <v>69.91</v>
      </c>
      <c r="J15" s="11" t="n">
        <v>61.3</v>
      </c>
      <c r="K15" s="11" t="n">
        <v>82.41</v>
      </c>
      <c r="L15" s="11" t="n">
        <v>82</v>
      </c>
      <c r="M15" s="11" t="n">
        <v>87.72</v>
      </c>
      <c r="N15" s="11" t="n">
        <v>80.21</v>
      </c>
      <c r="O15" s="11" t="n">
        <v>117.71</v>
      </c>
      <c r="P15" s="11" t="n">
        <v>111.3</v>
      </c>
      <c r="Q15" s="11" t="n">
        <v>125.53</v>
      </c>
      <c r="R15" s="11" t="n">
        <v>104.37</v>
      </c>
      <c r="S15" s="11" t="n">
        <v>117.11</v>
      </c>
      <c r="T15" s="11" t="n">
        <v>91.05</v>
      </c>
      <c r="U15" s="11" t="n">
        <v>79.21</v>
      </c>
      <c r="V15" s="11" t="n">
        <v>75.44</v>
      </c>
      <c r="W15" s="11" t="n">
        <v>93.39</v>
      </c>
      <c r="X15" s="11" t="n">
        <v>114.01</v>
      </c>
      <c r="Y15" s="11" t="n">
        <v>135.44</v>
      </c>
      <c r="Z15" s="11" t="n">
        <v>139.35</v>
      </c>
      <c r="AA15" s="11" t="n">
        <v>98.23</v>
      </c>
      <c r="AB15" s="11" t="n">
        <v>80.62</v>
      </c>
      <c r="AC15" s="11" t="n">
        <v>89.72</v>
      </c>
      <c r="AD15" s="11" t="n">
        <v>111.88</v>
      </c>
      <c r="AE15" s="11" t="n">
        <v>116.67</v>
      </c>
      <c r="AF15" s="11" t="n">
        <v>93.86</v>
      </c>
      <c r="AG15" s="11" t="n">
        <v>80.96</v>
      </c>
      <c r="AH15" s="11" t="n">
        <v>80.02</v>
      </c>
      <c r="AI15" s="11" t="n">
        <v>96.16</v>
      </c>
      <c r="AJ15" s="11" t="n">
        <v>121.36</v>
      </c>
      <c r="AK15" s="11" t="n">
        <v>170.26</v>
      </c>
      <c r="AL15" s="11" t="n">
        <v>164.69</v>
      </c>
      <c r="AM15" s="11" t="n">
        <v>120.87</v>
      </c>
      <c r="AN15" s="11" t="n">
        <v>130.42</v>
      </c>
      <c r="AO15" s="11" t="n">
        <v>143.49</v>
      </c>
      <c r="AP15" s="11" t="n">
        <v>154.55</v>
      </c>
      <c r="AQ15" s="11" t="n">
        <v>162.13</v>
      </c>
      <c r="AR15" s="11" t="n">
        <v>145.16</v>
      </c>
      <c r="AS15" s="11" t="n">
        <v>113.63</v>
      </c>
      <c r="AT15" s="11" t="n">
        <v>83.27</v>
      </c>
      <c r="AU15" s="11" t="n">
        <v>79.9</v>
      </c>
      <c r="AV15" s="11" t="n">
        <v>101.99</v>
      </c>
      <c r="AW15" s="11" t="n">
        <v>154.12</v>
      </c>
      <c r="AX15" s="11" t="n">
        <v>191.55</v>
      </c>
      <c r="AY15" s="11" t="n">
        <v>154.33</v>
      </c>
      <c r="AZ15" s="11" t="n">
        <v>134.36</v>
      </c>
      <c r="BA15" s="11" t="n">
        <v>110.5</v>
      </c>
      <c r="BB15" s="11" t="n">
        <v>120.14</v>
      </c>
      <c r="BC15" s="11" t="n">
        <v>120.84</v>
      </c>
      <c r="BD15" s="11" t="n">
        <v>103.79</v>
      </c>
      <c r="BE15" s="11" t="n">
        <v>80.91</v>
      </c>
      <c r="BF15" s="11" t="n">
        <v>73.43</v>
      </c>
      <c r="BG15" s="11" t="n">
        <v>86.89</v>
      </c>
      <c r="BH15" s="11" t="n">
        <v>101.79</v>
      </c>
      <c r="BI15" s="11" t="n">
        <v>129.36</v>
      </c>
      <c r="BJ15" s="11" t="n">
        <v>114.41</v>
      </c>
      <c r="BK15" s="11" t="n">
        <v>136.07</v>
      </c>
      <c r="BL15" s="11" t="n">
        <v>107.69</v>
      </c>
      <c r="BM15" s="11" t="n">
        <v>99.51</v>
      </c>
      <c r="BN15" s="11" t="n">
        <v>101.31</v>
      </c>
      <c r="BO15" s="11" t="n">
        <v>103.11</v>
      </c>
      <c r="BP15" s="11" t="n">
        <v>91.14</v>
      </c>
      <c r="BQ15" s="11" t="n">
        <v>79.27</v>
      </c>
    </row>
    <row r="16" customFormat="false" ht="15" hidden="false" customHeight="false" outlineLevel="0" collapsed="false">
      <c r="A16" s="8" t="s">
        <v>103</v>
      </c>
      <c r="B16" s="9" t="s">
        <v>104</v>
      </c>
      <c r="C16" s="10" t="s">
        <v>87</v>
      </c>
      <c r="D16" s="8" t="n">
        <v>1.2</v>
      </c>
      <c r="E16" s="11" t="n">
        <v>135.51</v>
      </c>
      <c r="F16" s="11" t="n">
        <v>115.38</v>
      </c>
      <c r="G16" s="11" t="n">
        <v>85.52</v>
      </c>
      <c r="H16" s="11" t="n">
        <v>58.45</v>
      </c>
      <c r="I16" s="11" t="n">
        <v>69.52</v>
      </c>
      <c r="J16" s="11" t="n">
        <v>69.52</v>
      </c>
      <c r="K16" s="11" t="n">
        <v>69.52</v>
      </c>
      <c r="L16" s="11" t="n">
        <v>69.52</v>
      </c>
      <c r="M16" s="11" t="n">
        <v>69.52</v>
      </c>
      <c r="N16" s="11" t="n">
        <v>69.52</v>
      </c>
      <c r="O16" s="11" t="n">
        <v>69.52</v>
      </c>
      <c r="P16" s="11" t="n">
        <v>189.39</v>
      </c>
      <c r="Q16" s="11" t="n">
        <v>208.45</v>
      </c>
      <c r="R16" s="11" t="n">
        <v>115.25</v>
      </c>
      <c r="S16" s="11" t="n">
        <v>83.97</v>
      </c>
      <c r="T16" s="11" t="n">
        <v>66.8</v>
      </c>
      <c r="U16" s="11" t="n">
        <v>56.82</v>
      </c>
      <c r="V16" s="11" t="n">
        <v>56.82</v>
      </c>
      <c r="W16" s="11" t="n">
        <v>56.82</v>
      </c>
      <c r="X16" s="11" t="n">
        <v>56.82</v>
      </c>
      <c r="Y16" s="11" t="n">
        <v>56.82</v>
      </c>
      <c r="Z16" s="11" t="n">
        <v>56.82</v>
      </c>
      <c r="AA16" s="11" t="n">
        <v>56.82</v>
      </c>
      <c r="AB16" s="11" t="n">
        <v>169.89</v>
      </c>
      <c r="AC16" s="11" t="n">
        <v>151.83</v>
      </c>
      <c r="AD16" s="11" t="n">
        <v>125.72</v>
      </c>
      <c r="AE16" s="11" t="n">
        <v>86.27</v>
      </c>
      <c r="AF16" s="11" t="n">
        <v>78.44</v>
      </c>
      <c r="AG16" s="11" t="n">
        <v>78.54</v>
      </c>
      <c r="AH16" s="11" t="n">
        <v>78.54</v>
      </c>
      <c r="AI16" s="11" t="n">
        <v>78.54</v>
      </c>
      <c r="AJ16" s="11" t="n">
        <v>78.54</v>
      </c>
      <c r="AK16" s="11" t="n">
        <v>78.54</v>
      </c>
      <c r="AL16" s="11" t="n">
        <v>78.54</v>
      </c>
      <c r="AM16" s="11" t="n">
        <v>78.54</v>
      </c>
      <c r="AN16" s="11" t="n">
        <v>199.55</v>
      </c>
      <c r="AO16" s="11" t="n">
        <v>191.11</v>
      </c>
      <c r="AP16" s="11" t="n">
        <v>160.26</v>
      </c>
      <c r="AQ16" s="11" t="n">
        <v>119.47</v>
      </c>
      <c r="AR16" s="11" t="n">
        <v>94.51</v>
      </c>
      <c r="AS16" s="11" t="n">
        <v>86.5</v>
      </c>
      <c r="AT16" s="11" t="n">
        <v>86.5</v>
      </c>
      <c r="AU16" s="11" t="n">
        <v>86.5</v>
      </c>
      <c r="AV16" s="11" t="n">
        <v>86.5</v>
      </c>
      <c r="AW16" s="11" t="n">
        <v>86.5</v>
      </c>
      <c r="AX16" s="11" t="n">
        <v>86.5</v>
      </c>
      <c r="AY16" s="11" t="n">
        <v>86.5</v>
      </c>
      <c r="AZ16" s="11" t="n">
        <v>86.5</v>
      </c>
      <c r="BA16" s="11" t="n">
        <v>136.41</v>
      </c>
      <c r="BB16" s="11" t="n">
        <v>126.65</v>
      </c>
      <c r="BC16" s="11" t="n">
        <v>87.11</v>
      </c>
      <c r="BD16" s="11" t="n">
        <v>82</v>
      </c>
      <c r="BE16" s="11" t="n">
        <v>82</v>
      </c>
      <c r="BF16" s="11" t="n">
        <v>82</v>
      </c>
      <c r="BG16" s="11" t="n">
        <v>82</v>
      </c>
      <c r="BH16" s="11" t="n">
        <v>82</v>
      </c>
      <c r="BI16" s="11" t="n">
        <v>82</v>
      </c>
      <c r="BJ16" s="11" t="n">
        <v>82</v>
      </c>
      <c r="BK16" s="11" t="n">
        <v>82</v>
      </c>
      <c r="BL16" s="11" t="n">
        <v>202.39</v>
      </c>
      <c r="BM16" s="11" t="n">
        <v>178.95</v>
      </c>
      <c r="BN16" s="11" t="n">
        <v>146.27</v>
      </c>
      <c r="BO16" s="11" t="n">
        <v>84.15</v>
      </c>
      <c r="BP16" s="11" t="n">
        <v>69.6</v>
      </c>
      <c r="BQ16" s="11" t="n">
        <v>69.6</v>
      </c>
    </row>
    <row r="17" customFormat="false" ht="15" hidden="false" customHeight="false" outlineLevel="0" collapsed="false">
      <c r="A17" s="8" t="s">
        <v>103</v>
      </c>
      <c r="B17" s="9" t="s">
        <v>105</v>
      </c>
      <c r="C17" s="10" t="s">
        <v>87</v>
      </c>
      <c r="D17" s="8" t="n">
        <v>0.1</v>
      </c>
      <c r="E17" s="11" t="n">
        <v>137.27</v>
      </c>
      <c r="F17" s="11" t="n">
        <v>135.11</v>
      </c>
      <c r="G17" s="11" t="n">
        <v>132.62</v>
      </c>
      <c r="H17" s="11" t="n">
        <v>97.62</v>
      </c>
      <c r="I17" s="11" t="n">
        <v>80.79</v>
      </c>
      <c r="J17" s="11" t="n">
        <v>68.85</v>
      </c>
      <c r="K17" s="11" t="n">
        <v>68.36</v>
      </c>
      <c r="L17" s="11" t="n">
        <v>86.66</v>
      </c>
      <c r="M17" s="11" t="n">
        <v>112.27</v>
      </c>
      <c r="N17" s="11" t="n">
        <v>93.64</v>
      </c>
      <c r="O17" s="11" t="n">
        <v>62.97</v>
      </c>
      <c r="P17" s="11" t="n">
        <v>83.31</v>
      </c>
      <c r="Q17" s="11" t="n">
        <v>125.02</v>
      </c>
      <c r="R17" s="11" t="n">
        <v>131.14</v>
      </c>
      <c r="S17" s="11" t="n">
        <v>101.01</v>
      </c>
      <c r="T17" s="11" t="n">
        <v>81.31</v>
      </c>
      <c r="U17" s="11" t="n">
        <v>83.07</v>
      </c>
      <c r="V17" s="11" t="n">
        <v>54.62</v>
      </c>
      <c r="W17" s="11" t="n">
        <v>64.45</v>
      </c>
      <c r="X17" s="11" t="n">
        <v>150.55</v>
      </c>
      <c r="Y17" s="11" t="n">
        <v>190.28</v>
      </c>
      <c r="Z17" s="11" t="n">
        <v>105.59</v>
      </c>
      <c r="AA17" s="11" t="n">
        <v>56.27</v>
      </c>
      <c r="AB17" s="11" t="n">
        <v>73.68</v>
      </c>
      <c r="AC17" s="11" t="n">
        <v>134.41</v>
      </c>
      <c r="AD17" s="11" t="n">
        <v>142.42</v>
      </c>
      <c r="AE17" s="11" t="n">
        <v>132.97</v>
      </c>
      <c r="AF17" s="11" t="n">
        <v>100.32</v>
      </c>
      <c r="AG17" s="11" t="n">
        <v>93.6</v>
      </c>
      <c r="AH17" s="11" t="n">
        <v>78.89</v>
      </c>
      <c r="AI17" s="11" t="n">
        <v>57.58</v>
      </c>
      <c r="AJ17" s="11" t="n">
        <v>105.43</v>
      </c>
      <c r="AK17" s="11" t="n">
        <v>139.93</v>
      </c>
      <c r="AL17" s="11" t="n">
        <v>122.01</v>
      </c>
      <c r="AM17" s="11" t="n">
        <v>67.15</v>
      </c>
      <c r="AN17" s="11" t="n">
        <v>80.43</v>
      </c>
      <c r="AO17" s="11" t="n">
        <v>145.92</v>
      </c>
      <c r="AP17" s="11" t="n">
        <v>163.88</v>
      </c>
      <c r="AQ17" s="11" t="n">
        <v>158.78</v>
      </c>
      <c r="AR17" s="11" t="n">
        <v>121.6</v>
      </c>
      <c r="AS17" s="11" t="n">
        <v>69.09</v>
      </c>
      <c r="AT17" s="11" t="n">
        <v>53.2</v>
      </c>
      <c r="AU17" s="11" t="n">
        <v>41.66</v>
      </c>
      <c r="AV17" s="11" t="n">
        <v>98.91</v>
      </c>
      <c r="AW17" s="11" t="n">
        <v>126.62</v>
      </c>
      <c r="AX17" s="11" t="n">
        <v>108.5</v>
      </c>
      <c r="AY17" s="11" t="n">
        <v>89.89</v>
      </c>
      <c r="AZ17" s="11" t="n">
        <v>108.64</v>
      </c>
      <c r="BA17" s="11" t="n">
        <v>124.05</v>
      </c>
      <c r="BB17" s="11" t="n">
        <v>130.73</v>
      </c>
      <c r="BC17" s="11" t="n">
        <v>124.44</v>
      </c>
      <c r="BD17" s="11" t="n">
        <v>103.19</v>
      </c>
      <c r="BE17" s="11" t="n">
        <v>77.58</v>
      </c>
      <c r="BF17" s="11" t="n">
        <v>70.63</v>
      </c>
      <c r="BG17" s="11" t="n">
        <v>55.41</v>
      </c>
      <c r="BH17" s="11" t="n">
        <v>130.19</v>
      </c>
      <c r="BI17" s="11" t="n">
        <v>104.94</v>
      </c>
      <c r="BJ17" s="11" t="n">
        <v>106.65</v>
      </c>
      <c r="BK17" s="11" t="n">
        <v>88.91</v>
      </c>
      <c r="BL17" s="11" t="n">
        <v>78.8</v>
      </c>
      <c r="BM17" s="11" t="n">
        <v>97.9</v>
      </c>
      <c r="BN17" s="11" t="n">
        <v>149.09</v>
      </c>
      <c r="BO17" s="11" t="n">
        <v>106.4</v>
      </c>
      <c r="BP17" s="11" t="n">
        <v>95.58</v>
      </c>
      <c r="BQ17" s="11" t="n">
        <v>82.56</v>
      </c>
    </row>
    <row r="18" customFormat="false" ht="15" hidden="false" customHeight="false" outlineLevel="0" collapsed="false">
      <c r="A18" s="8" t="s">
        <v>103</v>
      </c>
      <c r="B18" s="9" t="s">
        <v>106</v>
      </c>
      <c r="C18" s="10" t="s">
        <v>87</v>
      </c>
      <c r="D18" s="8" t="n">
        <v>0.3</v>
      </c>
      <c r="E18" s="11" t="n">
        <v>103.91</v>
      </c>
      <c r="F18" s="11" t="n">
        <v>72.12</v>
      </c>
      <c r="G18" s="11" t="n">
        <v>64.17</v>
      </c>
      <c r="H18" s="11" t="n">
        <v>68.06</v>
      </c>
      <c r="I18" s="11" t="n">
        <v>64.43</v>
      </c>
      <c r="J18" s="11" t="n">
        <v>72.96</v>
      </c>
      <c r="K18" s="11" t="n">
        <v>88.82</v>
      </c>
      <c r="L18" s="11" t="n">
        <v>93.58</v>
      </c>
      <c r="M18" s="11" t="n">
        <v>76.56</v>
      </c>
      <c r="N18" s="11" t="n">
        <v>79.88</v>
      </c>
      <c r="O18" s="11" t="n">
        <v>88.56</v>
      </c>
      <c r="P18" s="11" t="n">
        <v>81.79</v>
      </c>
      <c r="Q18" s="11" t="n">
        <v>86.54</v>
      </c>
      <c r="R18" s="11" t="n">
        <v>82.7</v>
      </c>
      <c r="S18" s="11" t="n">
        <v>81.12</v>
      </c>
      <c r="T18" s="11" t="n">
        <v>82.33</v>
      </c>
      <c r="U18" s="11" t="n">
        <v>108.24</v>
      </c>
      <c r="V18" s="11" t="n">
        <v>121.44</v>
      </c>
      <c r="W18" s="11" t="n">
        <v>152.42</v>
      </c>
      <c r="X18" s="11" t="n">
        <v>185.46</v>
      </c>
      <c r="Y18" s="11" t="n">
        <v>247.57</v>
      </c>
      <c r="Z18" s="11" t="n">
        <v>211.61</v>
      </c>
      <c r="AA18" s="11" t="n">
        <v>110.42</v>
      </c>
      <c r="AB18" s="11" t="n">
        <v>87.93</v>
      </c>
      <c r="AC18" s="11" t="n">
        <v>100.31</v>
      </c>
      <c r="AD18" s="11" t="n">
        <v>115.5</v>
      </c>
      <c r="AE18" s="11" t="n">
        <v>104.85</v>
      </c>
      <c r="AF18" s="11" t="n">
        <v>120.34</v>
      </c>
      <c r="AG18" s="11" t="n">
        <v>133.57</v>
      </c>
      <c r="AH18" s="11" t="n">
        <v>116.92</v>
      </c>
      <c r="AI18" s="11" t="n">
        <v>113.57</v>
      </c>
      <c r="AJ18" s="11" t="n">
        <v>194.56</v>
      </c>
      <c r="AK18" s="11" t="n">
        <v>143.27</v>
      </c>
      <c r="AL18" s="11" t="n">
        <v>103.75</v>
      </c>
      <c r="AM18" s="11" t="n">
        <v>74.62</v>
      </c>
      <c r="AN18" s="11" t="n">
        <v>79.08</v>
      </c>
      <c r="AO18" s="11" t="n">
        <v>97.05</v>
      </c>
      <c r="AP18" s="11" t="n">
        <v>109.05</v>
      </c>
      <c r="AQ18" s="11" t="n">
        <v>111.36</v>
      </c>
      <c r="AR18" s="11" t="n">
        <v>124.12</v>
      </c>
      <c r="AS18" s="11" t="n">
        <v>131.05</v>
      </c>
      <c r="AT18" s="11" t="n">
        <v>125.26</v>
      </c>
      <c r="AU18" s="11" t="n">
        <v>148.89</v>
      </c>
      <c r="AV18" s="11" t="n">
        <v>195.5</v>
      </c>
      <c r="AW18" s="11" t="n">
        <v>217.46</v>
      </c>
      <c r="AX18" s="11" t="n">
        <v>184.41</v>
      </c>
      <c r="AY18" s="11" t="n">
        <v>166.23</v>
      </c>
      <c r="AZ18" s="11" t="n">
        <v>202.78</v>
      </c>
      <c r="BA18" s="11" t="n">
        <v>225.45</v>
      </c>
      <c r="BB18" s="11" t="n">
        <v>235.71</v>
      </c>
      <c r="BC18" s="11" t="n">
        <v>216</v>
      </c>
      <c r="BD18" s="11" t="n">
        <v>199.45</v>
      </c>
      <c r="BE18" s="11" t="n">
        <v>75.56</v>
      </c>
      <c r="BF18" s="11" t="n">
        <v>85.25</v>
      </c>
      <c r="BG18" s="11" t="n">
        <v>99.97</v>
      </c>
      <c r="BH18" s="11" t="n">
        <v>107.72</v>
      </c>
      <c r="BI18" s="11" t="n">
        <v>94.6</v>
      </c>
      <c r="BJ18" s="11" t="n">
        <v>101.45</v>
      </c>
      <c r="BK18" s="11" t="n">
        <v>106.11</v>
      </c>
      <c r="BL18" s="11" t="n">
        <v>121.59</v>
      </c>
      <c r="BM18" s="11" t="n">
        <v>115.84</v>
      </c>
      <c r="BN18" s="11" t="n">
        <v>134.2</v>
      </c>
      <c r="BO18" s="11" t="n">
        <v>117.25</v>
      </c>
      <c r="BP18" s="11" t="n">
        <v>108.24</v>
      </c>
      <c r="BQ18" s="11" t="n">
        <v>106.59</v>
      </c>
    </row>
    <row r="19" customFormat="false" ht="15" hidden="false" customHeight="false" outlineLevel="0" collapsed="false">
      <c r="A19" s="8" t="s">
        <v>103</v>
      </c>
      <c r="B19" s="9" t="s">
        <v>107</v>
      </c>
      <c r="C19" s="10" t="s">
        <v>87</v>
      </c>
      <c r="D19" s="8" t="n">
        <v>0.1</v>
      </c>
      <c r="E19" s="11" t="n">
        <v>91.83</v>
      </c>
      <c r="F19" s="11" t="n">
        <v>208.7</v>
      </c>
      <c r="G19" s="11" t="n">
        <v>136.39</v>
      </c>
      <c r="H19" s="11" t="n">
        <v>85.54</v>
      </c>
      <c r="I19" s="11" t="n">
        <v>79.78</v>
      </c>
      <c r="J19" s="11" t="n">
        <v>104.35</v>
      </c>
      <c r="K19" s="11" t="n">
        <v>104.66</v>
      </c>
      <c r="L19" s="11" t="n">
        <v>65.26</v>
      </c>
      <c r="M19" s="11" t="n">
        <v>67.61</v>
      </c>
      <c r="N19" s="11" t="n">
        <v>91.41</v>
      </c>
      <c r="O19" s="11" t="n">
        <v>95.63</v>
      </c>
      <c r="P19" s="11" t="n">
        <v>74.23</v>
      </c>
      <c r="Q19" s="11" t="n">
        <v>133.74</v>
      </c>
      <c r="R19" s="11" t="n">
        <v>146.6</v>
      </c>
      <c r="S19" s="11" t="n">
        <v>117.09</v>
      </c>
      <c r="T19" s="11" t="n">
        <v>93</v>
      </c>
      <c r="U19" s="11" t="n">
        <v>98.82</v>
      </c>
      <c r="V19" s="11" t="n">
        <v>112.78</v>
      </c>
      <c r="W19" s="11" t="n">
        <v>158.51</v>
      </c>
      <c r="X19" s="11" t="n">
        <v>114.38</v>
      </c>
      <c r="Y19" s="11" t="n">
        <v>152.96</v>
      </c>
      <c r="Z19" s="11" t="n">
        <v>114.42</v>
      </c>
      <c r="AA19" s="11" t="n">
        <v>90.18</v>
      </c>
      <c r="AB19" s="11" t="n">
        <v>84.66</v>
      </c>
      <c r="AC19" s="11" t="n">
        <v>157.3</v>
      </c>
      <c r="AD19" s="11" t="n">
        <v>252.77</v>
      </c>
      <c r="AE19" s="11" t="n">
        <v>140.11</v>
      </c>
      <c r="AF19" s="11" t="n">
        <v>80.57</v>
      </c>
      <c r="AG19" s="11" t="n">
        <v>88.06</v>
      </c>
      <c r="AH19" s="11" t="n">
        <v>92.41</v>
      </c>
      <c r="AI19" s="11" t="n">
        <v>78.19</v>
      </c>
      <c r="AJ19" s="11" t="n">
        <v>68.91</v>
      </c>
      <c r="AK19" s="11" t="n">
        <v>119.16</v>
      </c>
      <c r="AL19" s="11" t="n">
        <v>107.6</v>
      </c>
      <c r="AM19" s="11" t="n">
        <v>73.49</v>
      </c>
      <c r="AN19" s="11" t="n">
        <v>82.65</v>
      </c>
      <c r="AO19" s="11" t="n">
        <v>164.78</v>
      </c>
      <c r="AP19" s="11" t="n">
        <v>201.27</v>
      </c>
      <c r="AQ19" s="11" t="n">
        <v>209.28</v>
      </c>
      <c r="AR19" s="11" t="n">
        <v>110.03</v>
      </c>
      <c r="AS19" s="11" t="n">
        <v>72.87</v>
      </c>
      <c r="AT19" s="11" t="n">
        <v>61.2</v>
      </c>
      <c r="AU19" s="11" t="n">
        <v>85.17</v>
      </c>
      <c r="AV19" s="11" t="n">
        <v>82.77</v>
      </c>
      <c r="AW19" s="11" t="n">
        <v>98.08</v>
      </c>
      <c r="AX19" s="11" t="n">
        <v>106.89</v>
      </c>
      <c r="AY19" s="11" t="n">
        <v>81.97</v>
      </c>
      <c r="AZ19" s="11" t="n">
        <v>70.34</v>
      </c>
      <c r="BA19" s="11" t="n">
        <v>91.48</v>
      </c>
      <c r="BB19" s="11" t="n">
        <v>118.95</v>
      </c>
      <c r="BC19" s="11" t="n">
        <v>121.59</v>
      </c>
      <c r="BD19" s="11" t="n">
        <v>68.83</v>
      </c>
      <c r="BE19" s="11" t="n">
        <v>63.19</v>
      </c>
      <c r="BF19" s="11" t="n">
        <v>71.25</v>
      </c>
      <c r="BG19" s="11" t="n">
        <v>101.24</v>
      </c>
      <c r="BH19" s="11" t="n">
        <v>58.97</v>
      </c>
      <c r="BI19" s="11" t="n">
        <v>81.62</v>
      </c>
      <c r="BJ19" s="11" t="n">
        <v>78.22</v>
      </c>
      <c r="BK19" s="11" t="n">
        <v>82.99</v>
      </c>
      <c r="BL19" s="11" t="n">
        <v>60.85</v>
      </c>
      <c r="BM19" s="11" t="n">
        <v>97.79</v>
      </c>
      <c r="BN19" s="11" t="n">
        <v>132.11</v>
      </c>
      <c r="BO19" s="11" t="n">
        <v>96.15</v>
      </c>
      <c r="BP19" s="11" t="n">
        <v>69.84</v>
      </c>
      <c r="BQ19" s="11" t="n">
        <v>63.72</v>
      </c>
    </row>
    <row r="20" customFormat="false" ht="15" hidden="false" customHeight="false" outlineLevel="0" collapsed="false">
      <c r="A20" s="8" t="s">
        <v>103</v>
      </c>
      <c r="B20" s="9" t="s">
        <v>108</v>
      </c>
      <c r="C20" s="10" t="s">
        <v>87</v>
      </c>
      <c r="D20" s="8" t="n">
        <v>0.3</v>
      </c>
      <c r="E20" s="11" t="n">
        <v>140.8</v>
      </c>
      <c r="F20" s="11" t="n">
        <v>140.69</v>
      </c>
      <c r="G20" s="11" t="n">
        <v>139.98</v>
      </c>
      <c r="H20" s="11" t="n">
        <v>140.42</v>
      </c>
      <c r="I20" s="11" t="n">
        <v>140.42</v>
      </c>
      <c r="J20" s="11" t="n">
        <v>140.6</v>
      </c>
      <c r="K20" s="11" t="n">
        <v>140.76</v>
      </c>
      <c r="L20" s="11" t="n">
        <v>119.47</v>
      </c>
      <c r="M20" s="11" t="n">
        <v>103.47</v>
      </c>
      <c r="N20" s="11" t="n">
        <v>101.55</v>
      </c>
      <c r="O20" s="11" t="n">
        <v>101.26</v>
      </c>
      <c r="P20" s="11" t="n">
        <v>101.59</v>
      </c>
      <c r="Q20" s="11" t="n">
        <v>101.34</v>
      </c>
      <c r="R20" s="11" t="n">
        <v>99.97</v>
      </c>
      <c r="S20" s="11" t="n">
        <v>99.88</v>
      </c>
      <c r="T20" s="11" t="n">
        <v>99.88</v>
      </c>
      <c r="U20" s="11" t="n">
        <v>99.68</v>
      </c>
      <c r="V20" s="11" t="n">
        <v>99.47</v>
      </c>
      <c r="W20" s="11" t="n">
        <v>100.18</v>
      </c>
      <c r="X20" s="11" t="n">
        <v>100.72</v>
      </c>
      <c r="Y20" s="11" t="n">
        <v>115.59</v>
      </c>
      <c r="Z20" s="11" t="n">
        <v>113.84</v>
      </c>
      <c r="AA20" s="11" t="n">
        <v>110.44</v>
      </c>
      <c r="AB20" s="11" t="n">
        <v>109.02</v>
      </c>
      <c r="AC20" s="11" t="n">
        <v>108.88</v>
      </c>
      <c r="AD20" s="11" t="n">
        <v>108.88</v>
      </c>
      <c r="AE20" s="11" t="n">
        <v>108.82</v>
      </c>
      <c r="AF20" s="11" t="n">
        <v>108.73</v>
      </c>
      <c r="AG20" s="11" t="n">
        <v>108.78</v>
      </c>
      <c r="AH20" s="11" t="n">
        <v>108.95</v>
      </c>
      <c r="AI20" s="11" t="n">
        <v>109.27</v>
      </c>
      <c r="AJ20" s="11" t="n">
        <v>109.84</v>
      </c>
      <c r="AK20" s="11" t="n">
        <v>111.43</v>
      </c>
      <c r="AL20" s="11" t="n">
        <v>112.67</v>
      </c>
      <c r="AM20" s="11" t="n">
        <v>113.28</v>
      </c>
      <c r="AN20" s="11" t="n">
        <v>113.21</v>
      </c>
      <c r="AO20" s="11" t="n">
        <v>113.01</v>
      </c>
      <c r="AP20" s="11" t="n">
        <v>111.5</v>
      </c>
      <c r="AQ20" s="11" t="n">
        <v>111.42</v>
      </c>
      <c r="AR20" s="11" t="n">
        <v>111.39</v>
      </c>
      <c r="AS20" s="11" t="n">
        <v>111.58</v>
      </c>
      <c r="AT20" s="11" t="n">
        <v>111.95</v>
      </c>
      <c r="AU20" s="11" t="n">
        <v>112.06</v>
      </c>
      <c r="AV20" s="11" t="n">
        <v>111.58</v>
      </c>
      <c r="AW20" s="11" t="n">
        <v>111.5</v>
      </c>
      <c r="AX20" s="11" t="n">
        <v>110.69</v>
      </c>
      <c r="AY20" s="11" t="n">
        <v>110.27</v>
      </c>
      <c r="AZ20" s="11" t="n">
        <v>110.14</v>
      </c>
      <c r="BA20" s="11" t="n">
        <v>110.25</v>
      </c>
      <c r="BB20" s="11" t="n">
        <v>110.29</v>
      </c>
      <c r="BC20" s="11" t="n">
        <v>110.96</v>
      </c>
      <c r="BD20" s="11" t="n">
        <v>110.79</v>
      </c>
      <c r="BE20" s="11" t="n">
        <v>110.65</v>
      </c>
      <c r="BF20" s="11" t="n">
        <v>110.38</v>
      </c>
      <c r="BG20" s="11" t="n">
        <v>110.33</v>
      </c>
      <c r="BH20" s="11" t="n">
        <v>110.38</v>
      </c>
      <c r="BI20" s="11" t="n">
        <v>111.66</v>
      </c>
      <c r="BJ20" s="11" t="n">
        <v>111.76</v>
      </c>
      <c r="BK20" s="11" t="n">
        <v>111.47</v>
      </c>
      <c r="BL20" s="11" t="n">
        <v>111.44</v>
      </c>
      <c r="BM20" s="11" t="n">
        <v>111.19</v>
      </c>
      <c r="BN20" s="11" t="n">
        <v>111.19</v>
      </c>
      <c r="BO20" s="11" t="n">
        <v>111.22</v>
      </c>
      <c r="BP20" s="11" t="n">
        <v>111.3</v>
      </c>
      <c r="BQ20" s="11" t="n">
        <v>111.25</v>
      </c>
    </row>
    <row r="21" customFormat="false" ht="15" hidden="false" customHeight="false" outlineLevel="0" collapsed="false">
      <c r="A21" s="8" t="s">
        <v>103</v>
      </c>
      <c r="B21" s="9" t="s">
        <v>109</v>
      </c>
      <c r="C21" s="10" t="s">
        <v>87</v>
      </c>
      <c r="D21" s="8" t="n">
        <v>0.4</v>
      </c>
      <c r="E21" s="11" t="n">
        <v>138.29</v>
      </c>
      <c r="F21" s="11" t="n">
        <v>142.58</v>
      </c>
      <c r="G21" s="11" t="n">
        <v>144.76</v>
      </c>
      <c r="H21" s="11" t="n">
        <v>147.71</v>
      </c>
      <c r="I21" s="11" t="n">
        <v>147.44</v>
      </c>
      <c r="J21" s="11" t="n">
        <v>144.3</v>
      </c>
      <c r="K21" s="11" t="n">
        <v>163.23</v>
      </c>
      <c r="L21" s="11" t="n">
        <v>168.12</v>
      </c>
      <c r="M21" s="11" t="n">
        <v>167.04</v>
      </c>
      <c r="N21" s="11" t="n">
        <v>166.86</v>
      </c>
      <c r="O21" s="11" t="n">
        <v>171.19</v>
      </c>
      <c r="P21" s="11" t="n">
        <v>172.38</v>
      </c>
      <c r="Q21" s="11" t="n">
        <v>172.38</v>
      </c>
      <c r="R21" s="11" t="n">
        <v>166.9</v>
      </c>
      <c r="S21" s="11" t="n">
        <v>168.61</v>
      </c>
      <c r="T21" s="11" t="n">
        <v>173.92</v>
      </c>
      <c r="U21" s="11" t="n">
        <v>173.98</v>
      </c>
      <c r="V21" s="11" t="n">
        <v>174.61</v>
      </c>
      <c r="W21" s="11" t="n">
        <v>177.6</v>
      </c>
      <c r="X21" s="11" t="n">
        <v>179.71</v>
      </c>
      <c r="Y21" s="11" t="n">
        <v>172.92</v>
      </c>
      <c r="Z21" s="11" t="n">
        <v>169.16</v>
      </c>
      <c r="AA21" s="11" t="n">
        <v>168.87</v>
      </c>
      <c r="AB21" s="11" t="n">
        <v>168.66</v>
      </c>
      <c r="AC21" s="11" t="n">
        <v>168.29</v>
      </c>
      <c r="AD21" s="11" t="n">
        <v>169.12</v>
      </c>
      <c r="AE21" s="11" t="n">
        <v>169.37</v>
      </c>
      <c r="AF21" s="11" t="n">
        <v>164.87</v>
      </c>
      <c r="AG21" s="11" t="n">
        <v>128.6</v>
      </c>
      <c r="AH21" s="11" t="n">
        <v>118.05</v>
      </c>
      <c r="AI21" s="11" t="n">
        <v>124.83</v>
      </c>
      <c r="AJ21" s="11" t="n">
        <v>124.05</v>
      </c>
      <c r="AK21" s="11" t="n">
        <v>126.36</v>
      </c>
      <c r="AL21" s="11" t="n">
        <v>130.15</v>
      </c>
      <c r="AM21" s="11" t="n">
        <v>130.81</v>
      </c>
      <c r="AN21" s="11" t="n">
        <v>131.59</v>
      </c>
      <c r="AO21" s="11" t="n">
        <v>129.16</v>
      </c>
      <c r="AP21" s="11" t="n">
        <v>128.46</v>
      </c>
      <c r="AQ21" s="11" t="n">
        <v>128.19</v>
      </c>
      <c r="AR21" s="11" t="n">
        <v>128.3</v>
      </c>
      <c r="AS21" s="11" t="n">
        <v>128.56</v>
      </c>
      <c r="AT21" s="11" t="n">
        <v>129.09</v>
      </c>
      <c r="AU21" s="11" t="n">
        <v>131.04</v>
      </c>
      <c r="AV21" s="11" t="n">
        <v>133.7</v>
      </c>
      <c r="AW21" s="11" t="n">
        <v>134.5</v>
      </c>
      <c r="AX21" s="11" t="n">
        <v>134.75</v>
      </c>
      <c r="AY21" s="11" t="n">
        <v>134.68</v>
      </c>
      <c r="AZ21" s="11" t="n">
        <v>134.85</v>
      </c>
      <c r="BA21" s="11" t="n">
        <v>136.81</v>
      </c>
      <c r="BB21" s="11" t="n">
        <v>140.93</v>
      </c>
      <c r="BC21" s="11" t="n">
        <v>145.83</v>
      </c>
      <c r="BD21" s="11" t="n">
        <v>149.48</v>
      </c>
      <c r="BE21" s="11" t="n">
        <v>159.84</v>
      </c>
      <c r="BF21" s="11" t="n">
        <v>159.19</v>
      </c>
      <c r="BG21" s="11" t="n">
        <v>154.71</v>
      </c>
      <c r="BH21" s="11" t="n">
        <v>139.75</v>
      </c>
      <c r="BI21" s="11" t="n">
        <v>140.61</v>
      </c>
      <c r="BJ21" s="11" t="n">
        <v>141.01</v>
      </c>
      <c r="BK21" s="11" t="n">
        <v>143.59</v>
      </c>
      <c r="BL21" s="11" t="n">
        <v>144.56</v>
      </c>
      <c r="BM21" s="11" t="n">
        <v>153</v>
      </c>
      <c r="BN21" s="11" t="n">
        <v>153.07</v>
      </c>
      <c r="BO21" s="11" t="n">
        <v>153.86</v>
      </c>
      <c r="BP21" s="11" t="n">
        <v>154.36</v>
      </c>
      <c r="BQ21" s="11" t="n">
        <v>152.84</v>
      </c>
    </row>
    <row r="22" customFormat="false" ht="15" hidden="false" customHeight="false" outlineLevel="0" collapsed="false">
      <c r="A22" s="8" t="s">
        <v>103</v>
      </c>
      <c r="B22" s="9" t="s">
        <v>110</v>
      </c>
      <c r="C22" s="10" t="s">
        <v>87</v>
      </c>
      <c r="D22" s="8" t="n">
        <v>0.3</v>
      </c>
      <c r="E22" s="11" t="n">
        <v>172.81</v>
      </c>
      <c r="F22" s="11" t="n">
        <v>246.09</v>
      </c>
      <c r="G22" s="11" t="n">
        <v>242.12</v>
      </c>
      <c r="H22" s="11" t="n">
        <v>202.44</v>
      </c>
      <c r="I22" s="11" t="n">
        <v>137.15</v>
      </c>
      <c r="J22" s="11" t="n">
        <v>54.2</v>
      </c>
      <c r="K22" s="11" t="n">
        <v>55.26</v>
      </c>
      <c r="L22" s="11" t="n">
        <v>73.29</v>
      </c>
      <c r="M22" s="11" t="n">
        <v>85.15</v>
      </c>
      <c r="N22" s="11" t="n">
        <v>80.88</v>
      </c>
      <c r="O22" s="11" t="n">
        <v>89.99</v>
      </c>
      <c r="P22" s="11" t="n">
        <v>76.12</v>
      </c>
      <c r="Q22" s="11" t="n">
        <v>74.54</v>
      </c>
      <c r="R22" s="11" t="n">
        <v>73.34</v>
      </c>
      <c r="S22" s="11" t="n">
        <v>84.55</v>
      </c>
      <c r="T22" s="11" t="n">
        <v>65.85</v>
      </c>
      <c r="U22" s="11" t="n">
        <v>78.66</v>
      </c>
      <c r="V22" s="11" t="n">
        <v>87.37</v>
      </c>
      <c r="W22" s="11" t="n">
        <v>106.64</v>
      </c>
      <c r="X22" s="11" t="n">
        <v>118.3</v>
      </c>
      <c r="Y22" s="11" t="n">
        <v>110.63</v>
      </c>
      <c r="Z22" s="11" t="n">
        <v>107.54</v>
      </c>
      <c r="AA22" s="11" t="n">
        <v>107.59</v>
      </c>
      <c r="AB22" s="11" t="n">
        <v>102.29</v>
      </c>
      <c r="AC22" s="11" t="n">
        <v>99.62</v>
      </c>
      <c r="AD22" s="11" t="n">
        <v>110.43</v>
      </c>
      <c r="AE22" s="11" t="n">
        <v>116.12</v>
      </c>
      <c r="AF22" s="11" t="n">
        <v>82.66</v>
      </c>
      <c r="AG22" s="11" t="n">
        <v>105.37</v>
      </c>
      <c r="AH22" s="11" t="n">
        <v>103.04</v>
      </c>
      <c r="AI22" s="11" t="n">
        <v>124.64</v>
      </c>
      <c r="AJ22" s="11" t="n">
        <v>123.86</v>
      </c>
      <c r="AK22" s="11" t="n">
        <v>116.4</v>
      </c>
      <c r="AL22" s="11" t="n">
        <v>149.94</v>
      </c>
      <c r="AM22" s="11" t="n">
        <v>189.24</v>
      </c>
      <c r="AN22" s="11" t="n">
        <v>196.54</v>
      </c>
      <c r="AO22" s="11" t="n">
        <v>192.71</v>
      </c>
      <c r="AP22" s="11" t="n">
        <v>178.46</v>
      </c>
      <c r="AQ22" s="11" t="n">
        <v>153.05</v>
      </c>
      <c r="AR22" s="11" t="n">
        <v>119.4</v>
      </c>
      <c r="AS22" s="11" t="n">
        <v>106.62</v>
      </c>
      <c r="AT22" s="11" t="n">
        <v>95.7</v>
      </c>
      <c r="AU22" s="11" t="n">
        <v>98.17</v>
      </c>
      <c r="AV22" s="11" t="n">
        <v>105.5</v>
      </c>
      <c r="AW22" s="11" t="n">
        <v>118.75</v>
      </c>
      <c r="AX22" s="11" t="n">
        <v>111.03</v>
      </c>
      <c r="AY22" s="11" t="n">
        <v>126.1</v>
      </c>
      <c r="AZ22" s="11" t="n">
        <v>131.37</v>
      </c>
      <c r="BA22" s="11" t="n">
        <v>120.69</v>
      </c>
      <c r="BB22" s="11" t="n">
        <v>126.19</v>
      </c>
      <c r="BC22" s="11" t="n">
        <v>120.44</v>
      </c>
      <c r="BD22" s="11" t="n">
        <v>75.22</v>
      </c>
      <c r="BE22" s="11" t="n">
        <v>67.14</v>
      </c>
      <c r="BF22" s="11" t="n">
        <v>74.17</v>
      </c>
      <c r="BG22" s="11" t="n">
        <v>87.76</v>
      </c>
      <c r="BH22" s="11" t="n">
        <v>97.95</v>
      </c>
      <c r="BI22" s="11" t="n">
        <v>92.71</v>
      </c>
      <c r="BJ22" s="11" t="n">
        <v>102.38</v>
      </c>
      <c r="BK22" s="11" t="n">
        <v>106.63</v>
      </c>
      <c r="BL22" s="11" t="n">
        <v>110.19</v>
      </c>
      <c r="BM22" s="11" t="n">
        <v>98.9</v>
      </c>
      <c r="BN22" s="11" t="n">
        <v>106.98</v>
      </c>
      <c r="BO22" s="11" t="n">
        <v>89.46</v>
      </c>
      <c r="BP22" s="11" t="n">
        <v>67.25</v>
      </c>
      <c r="BQ22" s="11" t="n">
        <v>84.45</v>
      </c>
    </row>
    <row r="23" customFormat="false" ht="15" hidden="false" customHeight="false" outlineLevel="0" collapsed="false">
      <c r="A23" s="8" t="s">
        <v>103</v>
      </c>
      <c r="B23" s="9" t="s">
        <v>111</v>
      </c>
      <c r="C23" s="10" t="s">
        <v>87</v>
      </c>
      <c r="D23" s="8" t="n">
        <v>0.4</v>
      </c>
      <c r="E23" s="11" t="n">
        <v>168.34</v>
      </c>
      <c r="F23" s="11" t="n">
        <v>188</v>
      </c>
      <c r="G23" s="11" t="n">
        <v>181.94</v>
      </c>
      <c r="H23" s="11" t="n">
        <v>98.21</v>
      </c>
      <c r="I23" s="11" t="n">
        <v>58.63</v>
      </c>
      <c r="J23" s="11" t="n">
        <v>62.69</v>
      </c>
      <c r="K23" s="11" t="n">
        <v>69.5</v>
      </c>
      <c r="L23" s="11" t="n">
        <v>85.66</v>
      </c>
      <c r="M23" s="11" t="n">
        <v>89.45</v>
      </c>
      <c r="N23" s="11" t="n">
        <v>84.63</v>
      </c>
      <c r="O23" s="11" t="n">
        <v>90.92</v>
      </c>
      <c r="P23" s="11" t="n">
        <v>82.89</v>
      </c>
      <c r="Q23" s="11" t="n">
        <v>66.97</v>
      </c>
      <c r="R23" s="11" t="n">
        <v>55.2</v>
      </c>
      <c r="S23" s="11" t="n">
        <v>52.09</v>
      </c>
      <c r="T23" s="11" t="n">
        <v>56.01</v>
      </c>
      <c r="U23" s="11" t="n">
        <v>69.92</v>
      </c>
      <c r="V23" s="11" t="n">
        <v>128.66</v>
      </c>
      <c r="W23" s="11" t="n">
        <v>136.41</v>
      </c>
      <c r="X23" s="11" t="n">
        <v>140.27</v>
      </c>
      <c r="Y23" s="11" t="n">
        <v>138.39</v>
      </c>
      <c r="Z23" s="11" t="n">
        <v>141.33</v>
      </c>
      <c r="AA23" s="11" t="n">
        <v>141.09</v>
      </c>
      <c r="AB23" s="11" t="n">
        <v>140.1</v>
      </c>
      <c r="AC23" s="11" t="n">
        <v>138.85</v>
      </c>
      <c r="AD23" s="11" t="n">
        <v>143.55</v>
      </c>
      <c r="AE23" s="11" t="n">
        <v>161.2</v>
      </c>
      <c r="AF23" s="11" t="n">
        <v>118.61</v>
      </c>
      <c r="AG23" s="11" t="n">
        <v>112.82</v>
      </c>
      <c r="AH23" s="11" t="n">
        <v>113.92</v>
      </c>
      <c r="AI23" s="11" t="n">
        <v>122.55</v>
      </c>
      <c r="AJ23" s="11" t="n">
        <v>128.96</v>
      </c>
      <c r="AK23" s="11" t="n">
        <v>123.04</v>
      </c>
      <c r="AL23" s="11" t="n">
        <v>120.65</v>
      </c>
      <c r="AM23" s="11" t="n">
        <v>117.45</v>
      </c>
      <c r="AN23" s="11" t="n">
        <v>118.9</v>
      </c>
      <c r="AO23" s="11" t="n">
        <v>125.24</v>
      </c>
      <c r="AP23" s="11" t="n">
        <v>123.66</v>
      </c>
      <c r="AQ23" s="11" t="n">
        <v>147.08</v>
      </c>
      <c r="AR23" s="11" t="n">
        <v>153.58</v>
      </c>
      <c r="AS23" s="11" t="n">
        <v>123.03</v>
      </c>
      <c r="AT23" s="11" t="n">
        <v>99.59</v>
      </c>
      <c r="AU23" s="11" t="n">
        <v>102.24</v>
      </c>
      <c r="AV23" s="11" t="n">
        <v>108.96</v>
      </c>
      <c r="AW23" s="11" t="n">
        <v>112.6</v>
      </c>
      <c r="AX23" s="11" t="n">
        <v>112.49</v>
      </c>
      <c r="AY23" s="11" t="n">
        <v>116.27</v>
      </c>
      <c r="AZ23" s="11" t="n">
        <v>119.15</v>
      </c>
      <c r="BA23" s="11" t="n">
        <v>135.31</v>
      </c>
      <c r="BB23" s="11" t="n">
        <v>143.83</v>
      </c>
      <c r="BC23" s="11" t="n">
        <v>163.38</v>
      </c>
      <c r="BD23" s="11" t="n">
        <v>137.58</v>
      </c>
      <c r="BE23" s="11" t="n">
        <v>78.84</v>
      </c>
      <c r="BF23" s="11" t="n">
        <v>67.36</v>
      </c>
      <c r="BG23" s="11" t="n">
        <v>87.25</v>
      </c>
      <c r="BH23" s="11" t="n">
        <v>103.68</v>
      </c>
      <c r="BI23" s="11" t="n">
        <v>106.77</v>
      </c>
      <c r="BJ23" s="11" t="n">
        <v>105.59</v>
      </c>
      <c r="BK23" s="11" t="n">
        <v>103.62</v>
      </c>
      <c r="BL23" s="11" t="n">
        <v>102.37</v>
      </c>
      <c r="BM23" s="11" t="n">
        <v>102.67</v>
      </c>
      <c r="BN23" s="11" t="n">
        <v>103.43</v>
      </c>
      <c r="BO23" s="11" t="n">
        <v>76.09</v>
      </c>
      <c r="BP23" s="11" t="n">
        <v>71.26</v>
      </c>
      <c r="BQ23" s="11" t="n">
        <v>59.73</v>
      </c>
    </row>
    <row r="24" customFormat="false" ht="15" hidden="false" customHeight="false" outlineLevel="0" collapsed="false">
      <c r="A24" s="8" t="s">
        <v>103</v>
      </c>
      <c r="B24" s="9" t="s">
        <v>112</v>
      </c>
      <c r="C24" s="10" t="s">
        <v>87</v>
      </c>
      <c r="D24" s="8" t="n">
        <v>0.1</v>
      </c>
      <c r="E24" s="11" t="n">
        <v>71.66</v>
      </c>
      <c r="F24" s="11" t="n">
        <v>72.48</v>
      </c>
      <c r="G24" s="11" t="n">
        <v>69.61</v>
      </c>
      <c r="H24" s="11" t="n">
        <v>68.29</v>
      </c>
      <c r="I24" s="11" t="n">
        <v>67.84</v>
      </c>
      <c r="J24" s="11" t="n">
        <v>67.29</v>
      </c>
      <c r="K24" s="11" t="n">
        <v>67.41</v>
      </c>
      <c r="L24" s="11" t="n">
        <v>66.85</v>
      </c>
      <c r="M24" s="11" t="n">
        <v>60.95</v>
      </c>
      <c r="N24" s="11" t="n">
        <v>49.98</v>
      </c>
      <c r="O24" s="11" t="n">
        <v>42.88</v>
      </c>
      <c r="P24" s="11" t="n">
        <v>40.56</v>
      </c>
      <c r="Q24" s="11" t="n">
        <v>40.31</v>
      </c>
      <c r="R24" s="11" t="n">
        <v>40.52</v>
      </c>
      <c r="S24" s="11" t="n">
        <v>41.61</v>
      </c>
      <c r="T24" s="11" t="n">
        <v>40.18</v>
      </c>
      <c r="U24" s="11" t="n">
        <v>39.95</v>
      </c>
      <c r="V24" s="11" t="n">
        <v>40.01</v>
      </c>
      <c r="W24" s="11" t="n">
        <v>40.1</v>
      </c>
      <c r="X24" s="11" t="n">
        <v>41.77</v>
      </c>
      <c r="Y24" s="11" t="n">
        <v>58.04</v>
      </c>
      <c r="Z24" s="11" t="n">
        <v>77.76</v>
      </c>
      <c r="AA24" s="11" t="n">
        <v>101.61</v>
      </c>
      <c r="AB24" s="11" t="n">
        <v>118.6</v>
      </c>
      <c r="AC24" s="11" t="n">
        <v>118.52</v>
      </c>
      <c r="AD24" s="11" t="n">
        <v>118.94</v>
      </c>
      <c r="AE24" s="11" t="n">
        <v>126.18</v>
      </c>
      <c r="AF24" s="11" t="n">
        <v>131.05</v>
      </c>
      <c r="AG24" s="11" t="n">
        <v>148.38</v>
      </c>
      <c r="AH24" s="11" t="n">
        <v>151.9</v>
      </c>
      <c r="AI24" s="11" t="n">
        <v>147.53</v>
      </c>
      <c r="AJ24" s="11" t="n">
        <v>152.34</v>
      </c>
      <c r="AK24" s="11" t="n">
        <v>146.46</v>
      </c>
      <c r="AL24" s="11" t="n">
        <v>91.29</v>
      </c>
      <c r="AM24" s="11" t="n">
        <v>98.45</v>
      </c>
      <c r="AN24" s="11" t="n">
        <v>98.25</v>
      </c>
      <c r="AO24" s="11" t="n">
        <v>99.43</v>
      </c>
      <c r="AP24" s="11" t="n">
        <v>107.72</v>
      </c>
      <c r="AQ24" s="11" t="n">
        <v>107.66</v>
      </c>
      <c r="AR24" s="11" t="n">
        <v>105.93</v>
      </c>
      <c r="AS24" s="11" t="n">
        <v>100.82</v>
      </c>
      <c r="AT24" s="11" t="n">
        <v>98.52</v>
      </c>
      <c r="AU24" s="11" t="n">
        <v>95.78</v>
      </c>
      <c r="AV24" s="11" t="n">
        <v>94.69</v>
      </c>
      <c r="AW24" s="11" t="n">
        <v>97.1</v>
      </c>
      <c r="AX24" s="11" t="n">
        <v>74.66</v>
      </c>
      <c r="AY24" s="11" t="n">
        <v>67.57</v>
      </c>
      <c r="AZ24" s="11" t="n">
        <v>72.97</v>
      </c>
      <c r="BA24" s="11" t="n">
        <v>74.03</v>
      </c>
      <c r="BB24" s="11" t="n">
        <v>75.84</v>
      </c>
      <c r="BC24" s="11" t="n">
        <v>77.57</v>
      </c>
      <c r="BD24" s="11" t="n">
        <v>77.87</v>
      </c>
      <c r="BE24" s="11" t="n">
        <v>77.69</v>
      </c>
      <c r="BF24" s="11" t="n">
        <v>78.17</v>
      </c>
      <c r="BG24" s="11" t="n">
        <v>80.73</v>
      </c>
      <c r="BH24" s="11" t="n">
        <v>84.38</v>
      </c>
      <c r="BI24" s="11" t="n">
        <v>96.6</v>
      </c>
      <c r="BJ24" s="11" t="n">
        <v>80.54</v>
      </c>
      <c r="BK24" s="11" t="n">
        <v>67.09</v>
      </c>
      <c r="BL24" s="11" t="n">
        <v>73.45</v>
      </c>
      <c r="BM24" s="11" t="n">
        <v>73.95</v>
      </c>
      <c r="BN24" s="11" t="n">
        <v>74.74</v>
      </c>
      <c r="BO24" s="11" t="n">
        <v>74.87</v>
      </c>
      <c r="BP24" s="11" t="n">
        <v>74.68</v>
      </c>
      <c r="BQ24" s="11" t="n">
        <v>75.88</v>
      </c>
    </row>
    <row r="25" customFormat="false" ht="15" hidden="false" customHeight="false" outlineLevel="0" collapsed="false">
      <c r="A25" s="8" t="s">
        <v>103</v>
      </c>
      <c r="B25" s="9" t="s">
        <v>113</v>
      </c>
      <c r="C25" s="10" t="s">
        <v>87</v>
      </c>
      <c r="D25" s="8" t="n">
        <v>0.2</v>
      </c>
      <c r="E25" s="11" t="n">
        <v>94.68</v>
      </c>
      <c r="F25" s="11" t="n">
        <v>99.68</v>
      </c>
      <c r="G25" s="11" t="n">
        <v>90.31</v>
      </c>
      <c r="H25" s="11" t="n">
        <v>90.38</v>
      </c>
      <c r="I25" s="11" t="n">
        <v>93.6</v>
      </c>
      <c r="J25" s="11" t="n">
        <v>96.33</v>
      </c>
      <c r="K25" s="11" t="n">
        <v>82.15</v>
      </c>
      <c r="L25" s="11" t="n">
        <v>95.07</v>
      </c>
      <c r="M25" s="11" t="n">
        <v>121.68</v>
      </c>
      <c r="N25" s="11" t="n">
        <v>112.62</v>
      </c>
      <c r="O25" s="11" t="n">
        <v>110.63</v>
      </c>
      <c r="P25" s="11" t="n">
        <v>119.14</v>
      </c>
      <c r="Q25" s="11" t="n">
        <v>138.35</v>
      </c>
      <c r="R25" s="11" t="n">
        <v>107.01</v>
      </c>
      <c r="S25" s="11" t="n">
        <v>105.75</v>
      </c>
      <c r="T25" s="11" t="n">
        <v>119.49</v>
      </c>
      <c r="U25" s="11" t="n">
        <v>135.68</v>
      </c>
      <c r="V25" s="11" t="n">
        <v>130.04</v>
      </c>
      <c r="W25" s="11" t="n">
        <v>126.28</v>
      </c>
      <c r="X25" s="11" t="n">
        <v>133.86</v>
      </c>
      <c r="Y25" s="11" t="n">
        <v>132.22</v>
      </c>
      <c r="Z25" s="11" t="n">
        <v>122.43</v>
      </c>
      <c r="AA25" s="11" t="n">
        <v>118.97</v>
      </c>
      <c r="AB25" s="11" t="n">
        <v>132.01</v>
      </c>
      <c r="AC25" s="11" t="n">
        <v>151.53</v>
      </c>
      <c r="AD25" s="11" t="n">
        <v>125.58</v>
      </c>
      <c r="AE25" s="11" t="n">
        <v>130.49</v>
      </c>
      <c r="AF25" s="11" t="n">
        <v>118.07</v>
      </c>
      <c r="AG25" s="11" t="n">
        <v>119.9</v>
      </c>
      <c r="AH25" s="11" t="n">
        <v>113.17</v>
      </c>
      <c r="AI25" s="11" t="n">
        <v>111.6</v>
      </c>
      <c r="AJ25" s="11" t="n">
        <v>125.4</v>
      </c>
      <c r="AK25" s="11" t="n">
        <v>138.8</v>
      </c>
      <c r="AL25" s="11" t="n">
        <v>124.12</v>
      </c>
      <c r="AM25" s="11" t="n">
        <v>122.2</v>
      </c>
      <c r="AN25" s="11" t="n">
        <v>123.69</v>
      </c>
      <c r="AO25" s="11" t="n">
        <v>134.57</v>
      </c>
      <c r="AP25" s="11" t="n">
        <v>139.97</v>
      </c>
      <c r="AQ25" s="11" t="n">
        <v>132.56</v>
      </c>
      <c r="AR25" s="11" t="n">
        <v>120.73</v>
      </c>
      <c r="AS25" s="11" t="n">
        <v>116.74</v>
      </c>
      <c r="AT25" s="11" t="n">
        <v>111.75</v>
      </c>
      <c r="AU25" s="11" t="n">
        <v>112.68</v>
      </c>
      <c r="AV25" s="11" t="n">
        <v>118.35</v>
      </c>
      <c r="AW25" s="11" t="n">
        <v>141.6</v>
      </c>
      <c r="AX25" s="11" t="n">
        <v>120.07</v>
      </c>
      <c r="AY25" s="11" t="n">
        <v>133.66</v>
      </c>
      <c r="AZ25" s="11" t="n">
        <v>136.28</v>
      </c>
      <c r="BA25" s="11" t="n">
        <v>156.04</v>
      </c>
      <c r="BB25" s="11" t="n">
        <v>134.19</v>
      </c>
      <c r="BC25" s="11" t="n">
        <v>135.05</v>
      </c>
      <c r="BD25" s="11" t="n">
        <v>128.38</v>
      </c>
      <c r="BE25" s="11" t="n">
        <v>126.59</v>
      </c>
      <c r="BF25" s="11" t="n">
        <v>124.33</v>
      </c>
      <c r="BG25" s="11" t="n">
        <v>116.97</v>
      </c>
      <c r="BH25" s="11" t="n">
        <v>129.71</v>
      </c>
      <c r="BI25" s="11" t="n">
        <v>135.69</v>
      </c>
      <c r="BJ25" s="11" t="n">
        <v>132.26</v>
      </c>
      <c r="BK25" s="11" t="n">
        <v>117.56</v>
      </c>
      <c r="BL25" s="11" t="n">
        <v>136.92</v>
      </c>
      <c r="BM25" s="11" t="n">
        <v>135.76</v>
      </c>
      <c r="BN25" s="11" t="n">
        <v>156.92</v>
      </c>
      <c r="BO25" s="11" t="n">
        <v>120.02</v>
      </c>
      <c r="BP25" s="11" t="n">
        <v>111.74</v>
      </c>
      <c r="BQ25" s="11" t="n">
        <v>123.13</v>
      </c>
    </row>
    <row r="26" customFormat="false" ht="15" hidden="false" customHeight="false" outlineLevel="0" collapsed="false">
      <c r="A26" s="8" t="s">
        <v>103</v>
      </c>
      <c r="B26" s="9" t="s">
        <v>114</v>
      </c>
      <c r="C26" s="10" t="s">
        <v>87</v>
      </c>
      <c r="D26" s="8" t="n">
        <v>0.1</v>
      </c>
      <c r="E26" s="11" t="n">
        <v>135.65</v>
      </c>
      <c r="F26" s="11" t="n">
        <v>215.67</v>
      </c>
      <c r="G26" s="11" t="n">
        <v>158.22</v>
      </c>
      <c r="H26" s="11" t="n">
        <v>83.18</v>
      </c>
      <c r="I26" s="11" t="n">
        <v>60.68</v>
      </c>
      <c r="J26" s="11" t="n">
        <v>100.1</v>
      </c>
      <c r="K26" s="11" t="n">
        <v>45.63</v>
      </c>
      <c r="L26" s="11" t="n">
        <v>39.79</v>
      </c>
      <c r="M26" s="11" t="n">
        <v>93.97</v>
      </c>
      <c r="N26" s="11" t="n">
        <v>61.95</v>
      </c>
      <c r="O26" s="11" t="n">
        <v>115.57</v>
      </c>
      <c r="P26" s="11" t="n">
        <v>115.33</v>
      </c>
      <c r="Q26" s="11" t="n">
        <v>221.61</v>
      </c>
      <c r="R26" s="11" t="n">
        <v>151.1</v>
      </c>
      <c r="S26" s="11" t="n">
        <v>115.56</v>
      </c>
      <c r="T26" s="11" t="n">
        <v>121.54</v>
      </c>
      <c r="U26" s="11" t="n">
        <v>99.85</v>
      </c>
      <c r="V26" s="11" t="n">
        <v>80.15</v>
      </c>
      <c r="W26" s="11" t="n">
        <v>85.33</v>
      </c>
      <c r="X26" s="11" t="n">
        <v>91.26</v>
      </c>
      <c r="Y26" s="11" t="n">
        <v>154.75</v>
      </c>
      <c r="Z26" s="11" t="n">
        <v>63.72</v>
      </c>
      <c r="AA26" s="11" t="n">
        <v>70.46</v>
      </c>
      <c r="AB26" s="11" t="n">
        <v>106.35</v>
      </c>
      <c r="AC26" s="11" t="n">
        <v>213.85</v>
      </c>
      <c r="AD26" s="11" t="n">
        <v>205.2</v>
      </c>
      <c r="AE26" s="11" t="n">
        <v>127.41</v>
      </c>
      <c r="AF26" s="11" t="n">
        <v>101.4</v>
      </c>
      <c r="AG26" s="11" t="n">
        <v>109.96</v>
      </c>
      <c r="AH26" s="11" t="n">
        <v>109.38</v>
      </c>
      <c r="AI26" s="11" t="n">
        <v>50.74</v>
      </c>
      <c r="AJ26" s="11" t="n">
        <v>93.44</v>
      </c>
      <c r="AK26" s="11" t="n">
        <v>118.07</v>
      </c>
      <c r="AL26" s="11" t="n">
        <v>110.41</v>
      </c>
      <c r="AM26" s="11" t="n">
        <v>93.81</v>
      </c>
      <c r="AN26" s="11" t="n">
        <v>126.24</v>
      </c>
      <c r="AO26" s="11" t="n">
        <v>259.92</v>
      </c>
      <c r="AP26" s="11" t="n">
        <v>269.61</v>
      </c>
      <c r="AQ26" s="11" t="n">
        <v>192.59</v>
      </c>
      <c r="AR26" s="11" t="n">
        <v>112.15</v>
      </c>
      <c r="AS26" s="11" t="n">
        <v>57.19</v>
      </c>
      <c r="AT26" s="11" t="n">
        <v>66.84</v>
      </c>
      <c r="AU26" s="11" t="n">
        <v>48.89</v>
      </c>
      <c r="AV26" s="11" t="n">
        <v>66.44</v>
      </c>
      <c r="AW26" s="11" t="n">
        <v>103.04</v>
      </c>
      <c r="AX26" s="11" t="n">
        <v>147.86</v>
      </c>
      <c r="AY26" s="11" t="n">
        <v>120.5</v>
      </c>
      <c r="AZ26" s="11" t="n">
        <v>89.23</v>
      </c>
      <c r="BA26" s="11" t="n">
        <v>133.02</v>
      </c>
      <c r="BB26" s="11" t="n">
        <v>179.11</v>
      </c>
      <c r="BC26" s="11" t="n">
        <v>166.55</v>
      </c>
      <c r="BD26" s="11" t="n">
        <v>106.5</v>
      </c>
      <c r="BE26" s="11" t="n">
        <v>95.42</v>
      </c>
      <c r="BF26" s="11" t="n">
        <v>108.46</v>
      </c>
      <c r="BG26" s="11" t="n">
        <v>59.62</v>
      </c>
      <c r="BH26" s="11" t="n">
        <v>53.14</v>
      </c>
      <c r="BI26" s="11" t="n">
        <v>85.95</v>
      </c>
      <c r="BJ26" s="11" t="n">
        <v>87.94</v>
      </c>
      <c r="BK26" s="11" t="n">
        <v>93.06</v>
      </c>
      <c r="BL26" s="11" t="n">
        <v>65.04</v>
      </c>
      <c r="BM26" s="11" t="n">
        <v>129.07</v>
      </c>
      <c r="BN26" s="11" t="n">
        <v>176.71</v>
      </c>
      <c r="BO26" s="11" t="n">
        <v>153.21</v>
      </c>
      <c r="BP26" s="11" t="n">
        <v>136.9</v>
      </c>
      <c r="BQ26" s="11" t="n">
        <v>107.79</v>
      </c>
    </row>
    <row r="27" customFormat="false" ht="15" hidden="false" customHeight="false" outlineLevel="0" collapsed="false">
      <c r="A27" s="8" t="s">
        <v>103</v>
      </c>
      <c r="B27" s="9" t="s">
        <v>115</v>
      </c>
      <c r="C27" s="10" t="s">
        <v>116</v>
      </c>
      <c r="D27" s="8" t="n">
        <v>0.1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 t="n">
        <v>100</v>
      </c>
      <c r="AC27" s="11" t="n">
        <v>102.94</v>
      </c>
      <c r="AD27" s="11" t="n">
        <v>110.92</v>
      </c>
      <c r="AE27" s="11" t="n">
        <v>110.61</v>
      </c>
      <c r="AF27" s="11" t="n">
        <v>122.45</v>
      </c>
      <c r="AG27" s="11" t="n">
        <v>164.07</v>
      </c>
      <c r="AH27" s="11" t="n">
        <v>148.1</v>
      </c>
      <c r="AI27" s="11" t="n">
        <v>112.07</v>
      </c>
      <c r="AJ27" s="11" t="n">
        <v>190.68</v>
      </c>
      <c r="AK27" s="11" t="n">
        <v>196.58</v>
      </c>
      <c r="AL27" s="11" t="n">
        <v>193.45</v>
      </c>
      <c r="AM27" s="11" t="n">
        <v>119.46</v>
      </c>
      <c r="AN27" s="11" t="n">
        <v>110.27</v>
      </c>
      <c r="AO27" s="11" t="n">
        <v>99.23</v>
      </c>
      <c r="AP27" s="11" t="n">
        <v>112.19</v>
      </c>
      <c r="AQ27" s="11" t="n">
        <v>167.67</v>
      </c>
      <c r="AR27" s="11" t="n">
        <v>279.7</v>
      </c>
      <c r="AS27" s="11" t="n">
        <v>277.75</v>
      </c>
      <c r="AT27" s="11" t="n">
        <v>127.25</v>
      </c>
      <c r="AU27" s="11" t="n">
        <v>95.14</v>
      </c>
      <c r="AV27" s="11" t="n">
        <v>148.4</v>
      </c>
      <c r="AW27" s="11" t="n">
        <v>142.26</v>
      </c>
      <c r="AX27" s="11" t="n">
        <v>194.19</v>
      </c>
      <c r="AY27" s="11" t="n">
        <v>208.61</v>
      </c>
      <c r="AZ27" s="11" t="n">
        <v>181.99</v>
      </c>
      <c r="BA27" s="11" t="n">
        <v>244.1</v>
      </c>
      <c r="BB27" s="11" t="n">
        <v>294.81</v>
      </c>
      <c r="BC27" s="11" t="n">
        <v>259.66</v>
      </c>
      <c r="BD27" s="11" t="n">
        <v>203.21</v>
      </c>
      <c r="BE27" s="11" t="n">
        <v>154.91</v>
      </c>
      <c r="BF27" s="11" t="n">
        <v>92.41</v>
      </c>
      <c r="BG27" s="11" t="n">
        <v>121.01</v>
      </c>
      <c r="BH27" s="11" t="n">
        <v>128.98</v>
      </c>
      <c r="BI27" s="11" t="n">
        <v>135.4</v>
      </c>
      <c r="BJ27" s="11" t="n">
        <v>109.25</v>
      </c>
      <c r="BK27" s="11" t="n">
        <v>124.39</v>
      </c>
      <c r="BL27" s="11" t="n">
        <v>137.73</v>
      </c>
      <c r="BM27" s="11" t="n">
        <v>135.06</v>
      </c>
      <c r="BN27" s="11" t="n">
        <v>145.21</v>
      </c>
      <c r="BO27" s="11" t="n">
        <v>104.06</v>
      </c>
      <c r="BP27" s="11" t="n">
        <v>69.11</v>
      </c>
      <c r="BQ27" s="11" t="n">
        <v>70.92</v>
      </c>
    </row>
    <row r="28" customFormat="false" ht="15" hidden="false" customHeight="false" outlineLevel="0" collapsed="false">
      <c r="A28" s="8" t="s">
        <v>117</v>
      </c>
      <c r="B28" s="9" t="s">
        <v>118</v>
      </c>
      <c r="C28" s="10" t="s">
        <v>87</v>
      </c>
      <c r="D28" s="8" t="n">
        <v>0.9</v>
      </c>
      <c r="E28" s="11" t="n">
        <v>116.04</v>
      </c>
      <c r="F28" s="11" t="n">
        <v>124.56</v>
      </c>
      <c r="G28" s="11" t="n">
        <v>120.38</v>
      </c>
      <c r="H28" s="11" t="n">
        <v>124.9</v>
      </c>
      <c r="I28" s="11" t="n">
        <v>127.08</v>
      </c>
      <c r="J28" s="11" t="n">
        <v>125.39</v>
      </c>
      <c r="K28" s="11" t="n">
        <v>113.1</v>
      </c>
      <c r="L28" s="11" t="n">
        <v>86.22</v>
      </c>
      <c r="M28" s="11" t="n">
        <v>86.22</v>
      </c>
      <c r="N28" s="11" t="n">
        <v>75.72</v>
      </c>
      <c r="O28" s="11" t="n">
        <v>66.44</v>
      </c>
      <c r="P28" s="11" t="n">
        <v>83.95</v>
      </c>
      <c r="Q28" s="11" t="n">
        <v>105.16</v>
      </c>
      <c r="R28" s="11" t="n">
        <v>88.15</v>
      </c>
      <c r="S28" s="11" t="n">
        <v>71.89</v>
      </c>
      <c r="T28" s="11" t="n">
        <v>79</v>
      </c>
      <c r="U28" s="11" t="n">
        <v>72.89</v>
      </c>
      <c r="V28" s="11" t="n">
        <v>92.39</v>
      </c>
      <c r="W28" s="11" t="n">
        <v>106.36</v>
      </c>
      <c r="X28" s="11" t="n">
        <v>106.9</v>
      </c>
      <c r="Y28" s="11" t="n">
        <v>106.9</v>
      </c>
      <c r="Z28" s="11" t="n">
        <v>75.32</v>
      </c>
      <c r="AA28" s="11" t="n">
        <v>69.67</v>
      </c>
      <c r="AB28" s="11" t="n">
        <v>72.01</v>
      </c>
      <c r="AC28" s="11" t="n">
        <v>79.84</v>
      </c>
      <c r="AD28" s="11" t="n">
        <v>77.36</v>
      </c>
      <c r="AE28" s="11" t="n">
        <v>74.85</v>
      </c>
      <c r="AF28" s="11" t="n">
        <v>82.29</v>
      </c>
      <c r="AG28" s="11" t="n">
        <v>94.27</v>
      </c>
      <c r="AH28" s="11" t="n">
        <v>115.19</v>
      </c>
      <c r="AI28" s="11" t="n">
        <v>139.02</v>
      </c>
      <c r="AJ28" s="11" t="n">
        <v>150.72</v>
      </c>
      <c r="AK28" s="11" t="n">
        <v>140.2</v>
      </c>
      <c r="AL28" s="11" t="n">
        <v>135.21</v>
      </c>
      <c r="AM28" s="11" t="n">
        <v>136.31</v>
      </c>
      <c r="AN28" s="11" t="n">
        <v>160.06</v>
      </c>
      <c r="AO28" s="11" t="n">
        <v>172.02</v>
      </c>
      <c r="AP28" s="11" t="n">
        <v>171.7</v>
      </c>
      <c r="AQ28" s="11" t="n">
        <v>176.48</v>
      </c>
      <c r="AR28" s="11" t="n">
        <v>194.49</v>
      </c>
      <c r="AS28" s="11" t="n">
        <v>199.55</v>
      </c>
      <c r="AT28" s="11" t="n">
        <v>196.95</v>
      </c>
      <c r="AU28" s="11" t="n">
        <v>176.59</v>
      </c>
      <c r="AV28" s="11" t="n">
        <v>176.59</v>
      </c>
      <c r="AW28" s="11" t="n">
        <v>134.87</v>
      </c>
      <c r="AX28" s="11" t="n">
        <v>122.29</v>
      </c>
      <c r="AY28" s="11" t="n">
        <v>119.8</v>
      </c>
      <c r="AZ28" s="11" t="n">
        <v>129.54</v>
      </c>
      <c r="BA28" s="11" t="n">
        <v>139.49</v>
      </c>
      <c r="BB28" s="11" t="n">
        <v>167.95</v>
      </c>
      <c r="BC28" s="11" t="n">
        <v>163.97</v>
      </c>
      <c r="BD28" s="11" t="n">
        <v>168.44</v>
      </c>
      <c r="BE28" s="11" t="n">
        <v>146.9</v>
      </c>
      <c r="BF28" s="11" t="n">
        <v>160.33</v>
      </c>
      <c r="BG28" s="11" t="n">
        <v>165.67</v>
      </c>
      <c r="BH28" s="11" t="n">
        <v>162.9</v>
      </c>
      <c r="BI28" s="11" t="n">
        <v>127.73</v>
      </c>
      <c r="BJ28" s="11" t="n">
        <v>164.76</v>
      </c>
      <c r="BK28" s="11" t="n">
        <v>144.2</v>
      </c>
      <c r="BL28" s="11" t="n">
        <v>172.68</v>
      </c>
      <c r="BM28" s="11" t="n">
        <v>170.49</v>
      </c>
      <c r="BN28" s="11" t="n">
        <v>173.65</v>
      </c>
      <c r="BO28" s="11" t="n">
        <v>170.94</v>
      </c>
      <c r="BP28" s="11" t="n">
        <v>169.92</v>
      </c>
      <c r="BQ28" s="11" t="n">
        <v>169.28</v>
      </c>
    </row>
    <row r="29" customFormat="false" ht="15" hidden="false" customHeight="false" outlineLevel="0" collapsed="false">
      <c r="A29" s="8" t="s">
        <v>117</v>
      </c>
      <c r="B29" s="9" t="s">
        <v>119</v>
      </c>
      <c r="C29" s="10" t="s">
        <v>87</v>
      </c>
      <c r="D29" s="8" t="n">
        <v>0.2</v>
      </c>
      <c r="E29" s="11" t="n">
        <v>138.79</v>
      </c>
      <c r="F29" s="11" t="n">
        <v>142.74</v>
      </c>
      <c r="G29" s="11" t="n">
        <v>145.68</v>
      </c>
      <c r="H29" s="11" t="n">
        <v>148.76</v>
      </c>
      <c r="I29" s="11" t="n">
        <v>158.69</v>
      </c>
      <c r="J29" s="11" t="n">
        <v>164.97</v>
      </c>
      <c r="K29" s="11" t="n">
        <v>185.59</v>
      </c>
      <c r="L29" s="11" t="n">
        <v>190.22</v>
      </c>
      <c r="M29" s="11" t="n">
        <v>85.46</v>
      </c>
      <c r="N29" s="11" t="n">
        <v>73.94</v>
      </c>
      <c r="O29" s="11" t="n">
        <v>81.53</v>
      </c>
      <c r="P29" s="11" t="n">
        <v>92.13</v>
      </c>
      <c r="Q29" s="11" t="n">
        <v>102.49</v>
      </c>
      <c r="R29" s="11" t="n">
        <v>94.81</v>
      </c>
      <c r="S29" s="11" t="n">
        <v>93.41</v>
      </c>
      <c r="T29" s="11" t="n">
        <v>98.8</v>
      </c>
      <c r="U29" s="11" t="n">
        <v>106.22</v>
      </c>
      <c r="V29" s="11" t="n">
        <v>126.42</v>
      </c>
      <c r="W29" s="11" t="n">
        <v>135.72</v>
      </c>
      <c r="X29" s="11" t="n">
        <v>125.92</v>
      </c>
      <c r="Y29" s="11" t="n">
        <v>81.89</v>
      </c>
      <c r="Z29" s="11" t="n">
        <v>67.71</v>
      </c>
      <c r="AA29" s="11" t="n">
        <v>69.92</v>
      </c>
      <c r="AB29" s="11" t="n">
        <v>70.95</v>
      </c>
      <c r="AC29" s="11" t="n">
        <v>79.41</v>
      </c>
      <c r="AD29" s="11" t="n">
        <v>80.05</v>
      </c>
      <c r="AE29" s="11" t="n">
        <v>75.89</v>
      </c>
      <c r="AF29" s="11" t="n">
        <v>72.4</v>
      </c>
      <c r="AG29" s="11" t="n">
        <v>79.77</v>
      </c>
      <c r="AH29" s="11" t="n">
        <v>93.17</v>
      </c>
      <c r="AI29" s="11" t="n">
        <v>103.92</v>
      </c>
      <c r="AJ29" s="11" t="n">
        <v>105.03</v>
      </c>
      <c r="AK29" s="11" t="n">
        <v>114.3</v>
      </c>
      <c r="AL29" s="11" t="n">
        <v>104.15</v>
      </c>
      <c r="AM29" s="11" t="n">
        <v>116.44</v>
      </c>
      <c r="AN29" s="11" t="n">
        <v>126.3</v>
      </c>
      <c r="AO29" s="11" t="n">
        <v>138.49</v>
      </c>
      <c r="AP29" s="11" t="n">
        <v>153.71</v>
      </c>
      <c r="AQ29" s="11" t="n">
        <v>183.7</v>
      </c>
      <c r="AR29" s="11" t="n">
        <v>231.09</v>
      </c>
      <c r="AS29" s="11" t="n">
        <v>256.36</v>
      </c>
      <c r="AT29" s="11" t="n">
        <v>279.26</v>
      </c>
      <c r="AU29" s="11" t="n">
        <v>295.21</v>
      </c>
      <c r="AV29" s="11" t="n">
        <v>98.48</v>
      </c>
      <c r="AW29" s="11" t="n">
        <v>106.42</v>
      </c>
      <c r="AX29" s="11" t="n">
        <v>100.24</v>
      </c>
      <c r="AY29" s="11" t="n">
        <v>139.89</v>
      </c>
      <c r="AZ29" s="11" t="n">
        <v>168.8</v>
      </c>
      <c r="BA29" s="11" t="n">
        <v>187.72</v>
      </c>
      <c r="BB29" s="11" t="n">
        <v>177.12</v>
      </c>
      <c r="BC29" s="11" t="n">
        <v>169.85</v>
      </c>
      <c r="BD29" s="11" t="n">
        <v>171.2</v>
      </c>
      <c r="BE29" s="11" t="n">
        <v>148.51</v>
      </c>
      <c r="BF29" s="11" t="n">
        <v>142.06</v>
      </c>
      <c r="BG29" s="11" t="n">
        <v>131.82</v>
      </c>
      <c r="BH29" s="11" t="n">
        <v>115.41</v>
      </c>
      <c r="BI29" s="11" t="n">
        <v>103.05</v>
      </c>
      <c r="BJ29" s="11" t="n">
        <v>99.14</v>
      </c>
      <c r="BK29" s="11" t="n">
        <v>104.91</v>
      </c>
      <c r="BL29" s="11" t="n">
        <v>108.61</v>
      </c>
      <c r="BM29" s="11" t="n">
        <v>117.47</v>
      </c>
      <c r="BN29" s="11" t="n">
        <v>122.94</v>
      </c>
      <c r="BO29" s="11" t="n">
        <v>131.37</v>
      </c>
      <c r="BP29" s="11" t="n">
        <v>134.27</v>
      </c>
      <c r="BQ29" s="11" t="n">
        <v>135.56</v>
      </c>
    </row>
    <row r="30" customFormat="false" ht="15" hidden="false" customHeight="false" outlineLevel="0" collapsed="false">
      <c r="A30" s="8" t="s">
        <v>117</v>
      </c>
      <c r="B30" s="9" t="s">
        <v>120</v>
      </c>
      <c r="C30" s="10" t="s">
        <v>87</v>
      </c>
      <c r="D30" s="8" t="n">
        <v>0.2</v>
      </c>
      <c r="E30" s="11" t="n">
        <v>93.13</v>
      </c>
      <c r="F30" s="11" t="n">
        <v>93.13</v>
      </c>
      <c r="G30" s="11" t="n">
        <v>93.13</v>
      </c>
      <c r="H30" s="11" t="n">
        <v>93.13</v>
      </c>
      <c r="I30" s="11" t="n">
        <v>93.13</v>
      </c>
      <c r="J30" s="11" t="n">
        <v>93.13</v>
      </c>
      <c r="K30" s="11" t="n">
        <v>118.05</v>
      </c>
      <c r="L30" s="11" t="n">
        <v>110.36</v>
      </c>
      <c r="M30" s="11" t="n">
        <v>110.36</v>
      </c>
      <c r="N30" s="11" t="n">
        <v>110.36</v>
      </c>
      <c r="O30" s="11" t="n">
        <v>110.36</v>
      </c>
      <c r="P30" s="11" t="n">
        <v>110.36</v>
      </c>
      <c r="Q30" s="11" t="n">
        <v>110.36</v>
      </c>
      <c r="R30" s="11" t="n">
        <v>110.36</v>
      </c>
      <c r="S30" s="11" t="n">
        <v>110.36</v>
      </c>
      <c r="T30" s="11" t="n">
        <v>110.36</v>
      </c>
      <c r="U30" s="11" t="n">
        <v>110.36</v>
      </c>
      <c r="V30" s="11" t="n">
        <v>110.36</v>
      </c>
      <c r="W30" s="11" t="n">
        <v>130.6</v>
      </c>
      <c r="X30" s="11" t="n">
        <v>108.84</v>
      </c>
      <c r="Y30" s="11" t="n">
        <v>108.84</v>
      </c>
      <c r="Z30" s="11" t="n">
        <v>108.84</v>
      </c>
      <c r="AA30" s="11" t="n">
        <v>108.84</v>
      </c>
      <c r="AB30" s="11" t="n">
        <v>108.84</v>
      </c>
      <c r="AC30" s="11" t="n">
        <v>108.84</v>
      </c>
      <c r="AD30" s="11" t="n">
        <v>108.84</v>
      </c>
      <c r="AE30" s="11" t="n">
        <v>108.84</v>
      </c>
      <c r="AF30" s="11" t="n">
        <v>108.84</v>
      </c>
      <c r="AG30" s="11" t="n">
        <v>108.84</v>
      </c>
      <c r="AH30" s="11" t="n">
        <v>108.84</v>
      </c>
      <c r="AI30" s="11" t="n">
        <v>120.5</v>
      </c>
      <c r="AJ30" s="11" t="n">
        <v>171.26</v>
      </c>
      <c r="AK30" s="11" t="n">
        <v>171.26</v>
      </c>
      <c r="AL30" s="11" t="n">
        <v>171.26</v>
      </c>
      <c r="AM30" s="11" t="n">
        <v>171.26</v>
      </c>
      <c r="AN30" s="11" t="n">
        <v>171.26</v>
      </c>
      <c r="AO30" s="11" t="n">
        <v>171.26</v>
      </c>
      <c r="AP30" s="11" t="n">
        <v>171.26</v>
      </c>
      <c r="AQ30" s="11" t="n">
        <v>171.26</v>
      </c>
      <c r="AR30" s="11" t="n">
        <v>171.26</v>
      </c>
      <c r="AS30" s="11" t="n">
        <v>171.26</v>
      </c>
      <c r="AT30" s="11" t="n">
        <v>171.26</v>
      </c>
      <c r="AU30" s="11" t="n">
        <v>98.53</v>
      </c>
      <c r="AV30" s="11" t="n">
        <v>108.85</v>
      </c>
      <c r="AW30" s="11" t="n">
        <v>135.76</v>
      </c>
      <c r="AX30" s="11" t="n">
        <v>135.76</v>
      </c>
      <c r="AY30" s="11" t="n">
        <v>135.76</v>
      </c>
      <c r="AZ30" s="11" t="n">
        <v>135.76</v>
      </c>
      <c r="BA30" s="11" t="n">
        <v>135.76</v>
      </c>
      <c r="BB30" s="11" t="n">
        <v>135.76</v>
      </c>
      <c r="BC30" s="11" t="n">
        <v>135.76</v>
      </c>
      <c r="BD30" s="11" t="n">
        <v>135.76</v>
      </c>
      <c r="BE30" s="11" t="n">
        <v>135.76</v>
      </c>
      <c r="BF30" s="11" t="n">
        <v>135.76</v>
      </c>
      <c r="BG30" s="11" t="n">
        <v>125.71</v>
      </c>
      <c r="BH30" s="11" t="n">
        <v>104.54</v>
      </c>
      <c r="BI30" s="11" t="n">
        <v>91.08</v>
      </c>
      <c r="BJ30" s="11" t="n">
        <v>91.08</v>
      </c>
      <c r="BK30" s="11" t="n">
        <v>91.08</v>
      </c>
      <c r="BL30" s="11" t="n">
        <v>91.08</v>
      </c>
      <c r="BM30" s="11" t="n">
        <v>91.08</v>
      </c>
      <c r="BN30" s="11" t="n">
        <v>91.08</v>
      </c>
      <c r="BO30" s="11" t="n">
        <v>91.08</v>
      </c>
      <c r="BP30" s="11" t="n">
        <v>91.08</v>
      </c>
      <c r="BQ30" s="11" t="n">
        <v>91.08</v>
      </c>
    </row>
    <row r="31" customFormat="false" ht="15" hidden="false" customHeight="false" outlineLevel="0" collapsed="false">
      <c r="A31" s="8" t="s">
        <v>117</v>
      </c>
      <c r="B31" s="9" t="s">
        <v>121</v>
      </c>
      <c r="C31" s="10" t="s">
        <v>87</v>
      </c>
      <c r="D31" s="8" t="n">
        <v>0.3</v>
      </c>
      <c r="E31" s="11" t="n">
        <v>105.24</v>
      </c>
      <c r="F31" s="11" t="n">
        <v>105.24</v>
      </c>
      <c r="G31" s="11" t="n">
        <v>105.24</v>
      </c>
      <c r="H31" s="11" t="n">
        <v>105.24</v>
      </c>
      <c r="I31" s="11" t="n">
        <v>105.24</v>
      </c>
      <c r="J31" s="11" t="n">
        <v>105.24</v>
      </c>
      <c r="K31" s="11" t="n">
        <v>142.45</v>
      </c>
      <c r="L31" s="11" t="n">
        <v>111.66</v>
      </c>
      <c r="M31" s="11" t="n">
        <v>108.02</v>
      </c>
      <c r="N31" s="11" t="n">
        <v>104.47</v>
      </c>
      <c r="O31" s="11" t="n">
        <v>104.47</v>
      </c>
      <c r="P31" s="11" t="n">
        <v>104.47</v>
      </c>
      <c r="Q31" s="11" t="n">
        <v>104.47</v>
      </c>
      <c r="R31" s="11" t="n">
        <v>104.47</v>
      </c>
      <c r="S31" s="11" t="n">
        <v>104.47</v>
      </c>
      <c r="T31" s="11" t="n">
        <v>104.47</v>
      </c>
      <c r="U31" s="11" t="n">
        <v>104.47</v>
      </c>
      <c r="V31" s="11" t="n">
        <v>104.47</v>
      </c>
      <c r="W31" s="11" t="n">
        <v>136.38</v>
      </c>
      <c r="X31" s="11" t="n">
        <v>134.51</v>
      </c>
      <c r="Y31" s="11" t="n">
        <v>115.34</v>
      </c>
      <c r="Z31" s="11" t="n">
        <v>105.06</v>
      </c>
      <c r="AA31" s="11" t="n">
        <v>109.35</v>
      </c>
      <c r="AB31" s="11" t="n">
        <v>109.35</v>
      </c>
      <c r="AC31" s="11" t="n">
        <v>109.35</v>
      </c>
      <c r="AD31" s="11" t="n">
        <v>109.35</v>
      </c>
      <c r="AE31" s="11" t="n">
        <v>109.35</v>
      </c>
      <c r="AF31" s="11" t="n">
        <v>109.35</v>
      </c>
      <c r="AG31" s="11" t="n">
        <v>109.35</v>
      </c>
      <c r="AH31" s="11" t="n">
        <v>109.35</v>
      </c>
      <c r="AI31" s="11" t="n">
        <v>235.21</v>
      </c>
      <c r="AJ31" s="11" t="n">
        <v>216.26</v>
      </c>
      <c r="AK31" s="11" t="n">
        <v>160.13</v>
      </c>
      <c r="AL31" s="11" t="n">
        <v>136.74</v>
      </c>
      <c r="AM31" s="11" t="n">
        <v>139.34</v>
      </c>
      <c r="AN31" s="11" t="n">
        <v>142.49</v>
      </c>
      <c r="AO31" s="11" t="n">
        <v>156.94</v>
      </c>
      <c r="AP31" s="11" t="n">
        <v>171.96</v>
      </c>
      <c r="AQ31" s="11" t="n">
        <v>178</v>
      </c>
      <c r="AR31" s="11" t="n">
        <v>178</v>
      </c>
      <c r="AS31" s="11" t="n">
        <v>178</v>
      </c>
      <c r="AT31" s="11" t="n">
        <v>178</v>
      </c>
      <c r="AU31" s="11" t="n">
        <v>145.58</v>
      </c>
      <c r="AV31" s="11" t="n">
        <v>139.7</v>
      </c>
      <c r="AW31" s="11" t="n">
        <v>132.93</v>
      </c>
      <c r="AX31" s="11" t="n">
        <v>97.41</v>
      </c>
      <c r="AY31" s="11" t="n">
        <v>97.41</v>
      </c>
      <c r="AZ31" s="11" t="n">
        <v>97.41</v>
      </c>
      <c r="BA31" s="11" t="n">
        <v>114.33</v>
      </c>
      <c r="BB31" s="11" t="n">
        <v>113.14</v>
      </c>
      <c r="BC31" s="11" t="n">
        <v>113.14</v>
      </c>
      <c r="BD31" s="11" t="n">
        <v>113.14</v>
      </c>
      <c r="BE31" s="11" t="n">
        <v>113.14</v>
      </c>
      <c r="BF31" s="11" t="n">
        <v>113.14</v>
      </c>
      <c r="BG31" s="11" t="n">
        <v>206.8</v>
      </c>
      <c r="BH31" s="11" t="n">
        <v>156.74</v>
      </c>
      <c r="BI31" s="11" t="n">
        <v>117.78</v>
      </c>
      <c r="BJ31" s="11" t="n">
        <v>96.01</v>
      </c>
      <c r="BK31" s="11" t="n">
        <v>92.73</v>
      </c>
      <c r="BL31" s="11" t="n">
        <v>93.21</v>
      </c>
      <c r="BM31" s="11" t="n">
        <v>96.85</v>
      </c>
      <c r="BN31" s="11" t="n">
        <v>104.62</v>
      </c>
      <c r="BO31" s="11" t="n">
        <v>112.99</v>
      </c>
      <c r="BP31" s="11" t="n">
        <v>112.99</v>
      </c>
      <c r="BQ31" s="11" t="n">
        <v>112.99</v>
      </c>
    </row>
    <row r="32" customFormat="false" ht="15" hidden="false" customHeight="false" outlineLevel="0" collapsed="false">
      <c r="A32" s="8" t="s">
        <v>117</v>
      </c>
      <c r="B32" s="9" t="s">
        <v>122</v>
      </c>
      <c r="C32" s="10" t="s">
        <v>87</v>
      </c>
      <c r="D32" s="8" t="n">
        <v>0.8</v>
      </c>
      <c r="E32" s="11" t="n">
        <v>111.84</v>
      </c>
      <c r="F32" s="11" t="n">
        <v>104.36</v>
      </c>
      <c r="G32" s="11" t="n">
        <v>94.3</v>
      </c>
      <c r="H32" s="11" t="n">
        <v>94.3</v>
      </c>
      <c r="I32" s="11" t="n">
        <v>94.3</v>
      </c>
      <c r="J32" s="11" t="n">
        <v>94.3</v>
      </c>
      <c r="K32" s="11" t="n">
        <v>94.3</v>
      </c>
      <c r="L32" s="11" t="n">
        <v>94.3</v>
      </c>
      <c r="M32" s="11" t="n">
        <v>94.3</v>
      </c>
      <c r="N32" s="11" t="n">
        <v>93.74</v>
      </c>
      <c r="O32" s="11" t="n">
        <v>97.64</v>
      </c>
      <c r="P32" s="11" t="n">
        <v>100.6</v>
      </c>
      <c r="Q32" s="11" t="n">
        <v>97.68</v>
      </c>
      <c r="R32" s="11" t="n">
        <v>98.18</v>
      </c>
      <c r="S32" s="11" t="n">
        <v>98.17</v>
      </c>
      <c r="T32" s="11" t="n">
        <v>98.17</v>
      </c>
      <c r="U32" s="11" t="n">
        <v>98.17</v>
      </c>
      <c r="V32" s="11" t="n">
        <v>98.17</v>
      </c>
      <c r="W32" s="11" t="n">
        <v>98.17</v>
      </c>
      <c r="X32" s="11" t="n">
        <v>98.17</v>
      </c>
      <c r="Y32" s="11" t="n">
        <v>98.17</v>
      </c>
      <c r="Z32" s="11" t="n">
        <v>112.03</v>
      </c>
      <c r="AA32" s="11" t="n">
        <v>93.62</v>
      </c>
      <c r="AB32" s="11" t="n">
        <v>108.89</v>
      </c>
      <c r="AC32" s="11" t="n">
        <v>124.35</v>
      </c>
      <c r="AD32" s="11" t="n">
        <v>118.35</v>
      </c>
      <c r="AE32" s="11" t="n">
        <v>118.35</v>
      </c>
      <c r="AF32" s="11" t="n">
        <v>118.35</v>
      </c>
      <c r="AG32" s="11" t="n">
        <v>118.35</v>
      </c>
      <c r="AH32" s="11" t="n">
        <v>118.35</v>
      </c>
      <c r="AI32" s="11" t="n">
        <v>118.35</v>
      </c>
      <c r="AJ32" s="11" t="n">
        <v>118.35</v>
      </c>
      <c r="AK32" s="11" t="n">
        <v>118.35</v>
      </c>
      <c r="AL32" s="11" t="n">
        <v>122.01</v>
      </c>
      <c r="AM32" s="11" t="n">
        <v>145.86</v>
      </c>
      <c r="AN32" s="11" t="n">
        <v>153.71</v>
      </c>
      <c r="AO32" s="11" t="n">
        <v>228.66</v>
      </c>
      <c r="AP32" s="11" t="n">
        <v>301.72</v>
      </c>
      <c r="AQ32" s="11" t="n">
        <v>301.72</v>
      </c>
      <c r="AR32" s="11" t="n">
        <v>301.72</v>
      </c>
      <c r="AS32" s="11" t="n">
        <v>301.72</v>
      </c>
      <c r="AT32" s="11" t="n">
        <v>301.72</v>
      </c>
      <c r="AU32" s="11" t="n">
        <v>301.72</v>
      </c>
      <c r="AV32" s="11" t="n">
        <v>301.72</v>
      </c>
      <c r="AW32" s="11" t="n">
        <v>301.72</v>
      </c>
      <c r="AX32" s="11" t="n">
        <v>125.15</v>
      </c>
      <c r="AY32" s="11" t="n">
        <v>145.99</v>
      </c>
      <c r="AZ32" s="11" t="n">
        <v>179.03</v>
      </c>
      <c r="BA32" s="11" t="n">
        <v>226.42</v>
      </c>
      <c r="BB32" s="11" t="n">
        <v>259.68</v>
      </c>
      <c r="BC32" s="11" t="n">
        <v>259.68</v>
      </c>
      <c r="BD32" s="11" t="n">
        <v>259.68</v>
      </c>
      <c r="BE32" s="11" t="n">
        <v>259.68</v>
      </c>
      <c r="BF32" s="11" t="n">
        <v>259.68</v>
      </c>
      <c r="BG32" s="11" t="n">
        <v>259.68</v>
      </c>
      <c r="BH32" s="11" t="n">
        <v>259.68</v>
      </c>
      <c r="BI32" s="11" t="n">
        <v>259.68</v>
      </c>
      <c r="BJ32" s="11" t="n">
        <v>131.05</v>
      </c>
      <c r="BK32" s="11" t="n">
        <v>149.74</v>
      </c>
      <c r="BL32" s="11" t="n">
        <v>169.02</v>
      </c>
      <c r="BM32" s="11" t="n">
        <v>164.27</v>
      </c>
      <c r="BN32" s="11" t="n">
        <v>169.22</v>
      </c>
      <c r="BO32" s="11" t="n">
        <v>169.22</v>
      </c>
      <c r="BP32" s="11" t="n">
        <v>169.22</v>
      </c>
      <c r="BQ32" s="11" t="n">
        <v>169.22</v>
      </c>
    </row>
    <row r="33" customFormat="false" ht="15" hidden="false" customHeight="false" outlineLevel="0" collapsed="false">
      <c r="A33" s="8" t="s">
        <v>117</v>
      </c>
      <c r="B33" s="9" t="s">
        <v>123</v>
      </c>
      <c r="C33" s="10" t="s">
        <v>87</v>
      </c>
      <c r="D33" s="8" t="n">
        <v>0.1</v>
      </c>
      <c r="E33" s="11" t="n">
        <v>123.34</v>
      </c>
      <c r="F33" s="11" t="n">
        <v>143.7</v>
      </c>
      <c r="G33" s="11" t="n">
        <v>143.7</v>
      </c>
      <c r="H33" s="11" t="n">
        <v>143.7</v>
      </c>
      <c r="I33" s="11" t="n">
        <v>143.7</v>
      </c>
      <c r="J33" s="11" t="n">
        <v>143.7</v>
      </c>
      <c r="K33" s="11" t="n">
        <v>143.7</v>
      </c>
      <c r="L33" s="11" t="n">
        <v>143.7</v>
      </c>
      <c r="M33" s="11" t="n">
        <v>143.7</v>
      </c>
      <c r="N33" s="11" t="n">
        <v>87.75</v>
      </c>
      <c r="O33" s="11" t="n">
        <v>96.08</v>
      </c>
      <c r="P33" s="11" t="n">
        <v>118.6</v>
      </c>
      <c r="Q33" s="11" t="n">
        <v>127.25</v>
      </c>
      <c r="R33" s="11" t="n">
        <v>133.32</v>
      </c>
      <c r="S33" s="11" t="n">
        <v>154.23</v>
      </c>
      <c r="T33" s="11" t="n">
        <v>154.23</v>
      </c>
      <c r="U33" s="11" t="n">
        <v>154.23</v>
      </c>
      <c r="V33" s="11" t="n">
        <v>154.23</v>
      </c>
      <c r="W33" s="11" t="n">
        <v>154.23</v>
      </c>
      <c r="X33" s="11" t="n">
        <v>154.23</v>
      </c>
      <c r="Y33" s="11" t="n">
        <v>154.23</v>
      </c>
      <c r="Z33" s="11" t="n">
        <v>93.03</v>
      </c>
      <c r="AA33" s="11" t="n">
        <v>83.58</v>
      </c>
      <c r="AB33" s="11" t="n">
        <v>96.11</v>
      </c>
      <c r="AC33" s="11" t="n">
        <v>95.78</v>
      </c>
      <c r="AD33" s="11" t="n">
        <v>91.79</v>
      </c>
      <c r="AE33" s="11" t="n">
        <v>91.79</v>
      </c>
      <c r="AF33" s="11" t="n">
        <v>91.79</v>
      </c>
      <c r="AG33" s="11" t="n">
        <v>91.79</v>
      </c>
      <c r="AH33" s="11" t="n">
        <v>91.79</v>
      </c>
      <c r="AI33" s="11" t="n">
        <v>91.79</v>
      </c>
      <c r="AJ33" s="11" t="n">
        <v>91.79</v>
      </c>
      <c r="AK33" s="11" t="n">
        <v>91.79</v>
      </c>
      <c r="AL33" s="11" t="n">
        <v>122.42</v>
      </c>
      <c r="AM33" s="11" t="n">
        <v>119.32</v>
      </c>
      <c r="AN33" s="11" t="n">
        <v>148.43</v>
      </c>
      <c r="AO33" s="11" t="n">
        <v>157.59</v>
      </c>
      <c r="AP33" s="11" t="n">
        <v>179.44</v>
      </c>
      <c r="AQ33" s="11" t="n">
        <v>183.55</v>
      </c>
      <c r="AR33" s="11" t="n">
        <v>183.55</v>
      </c>
      <c r="AS33" s="11" t="n">
        <v>183.55</v>
      </c>
      <c r="AT33" s="11" t="n">
        <v>183.55</v>
      </c>
      <c r="AU33" s="11" t="n">
        <v>183.55</v>
      </c>
      <c r="AV33" s="11" t="n">
        <v>183.55</v>
      </c>
      <c r="AW33" s="11" t="n">
        <v>183.55</v>
      </c>
      <c r="AX33" s="11" t="n">
        <v>129.64</v>
      </c>
      <c r="AY33" s="11" t="n">
        <v>87.48</v>
      </c>
      <c r="AZ33" s="11" t="n">
        <v>100.86</v>
      </c>
      <c r="BA33" s="11" t="n">
        <v>97.28</v>
      </c>
      <c r="BB33" s="11" t="n">
        <v>115.63</v>
      </c>
      <c r="BC33" s="11" t="n">
        <v>128.88</v>
      </c>
      <c r="BD33" s="11" t="n">
        <v>128.88</v>
      </c>
      <c r="BE33" s="11" t="n">
        <v>128.88</v>
      </c>
      <c r="BF33" s="11" t="n">
        <v>128.88</v>
      </c>
      <c r="BG33" s="11" t="n">
        <v>128.88</v>
      </c>
      <c r="BH33" s="11" t="n">
        <v>128.88</v>
      </c>
      <c r="BI33" s="11" t="n">
        <v>128.88</v>
      </c>
      <c r="BJ33" s="11" t="n">
        <v>106.51</v>
      </c>
      <c r="BK33" s="11" t="n">
        <v>81.15</v>
      </c>
      <c r="BL33" s="11" t="n">
        <v>95.29</v>
      </c>
      <c r="BM33" s="11" t="n">
        <v>95.29</v>
      </c>
      <c r="BN33" s="11" t="n">
        <v>95.29</v>
      </c>
      <c r="BO33" s="11" t="n">
        <v>95.29</v>
      </c>
      <c r="BP33" s="11" t="n">
        <v>95.29</v>
      </c>
      <c r="BQ33" s="11" t="n">
        <v>95.29</v>
      </c>
    </row>
    <row r="34" customFormat="false" ht="15" hidden="false" customHeight="false" outlineLevel="0" collapsed="false">
      <c r="A34" s="8" t="s">
        <v>124</v>
      </c>
      <c r="B34" s="9" t="s">
        <v>125</v>
      </c>
      <c r="C34" s="10" t="s">
        <v>87</v>
      </c>
      <c r="D34" s="8" t="n">
        <v>3.6</v>
      </c>
      <c r="E34" s="11" t="n">
        <v>106.11</v>
      </c>
      <c r="F34" s="11" t="n">
        <v>101.01</v>
      </c>
      <c r="G34" s="11" t="n">
        <v>101.42</v>
      </c>
      <c r="H34" s="11" t="n">
        <v>103.9</v>
      </c>
      <c r="I34" s="11" t="n">
        <v>101.69</v>
      </c>
      <c r="J34" s="11" t="n">
        <v>106.83</v>
      </c>
      <c r="K34" s="11" t="n">
        <v>103.59</v>
      </c>
      <c r="L34" s="11" t="n">
        <v>108.42</v>
      </c>
      <c r="M34" s="11" t="n">
        <v>115.35</v>
      </c>
      <c r="N34" s="11" t="n">
        <v>107.14</v>
      </c>
      <c r="O34" s="11" t="n">
        <v>104.67</v>
      </c>
      <c r="P34" s="11" t="n">
        <v>104.04</v>
      </c>
      <c r="Q34" s="11" t="n">
        <v>102.51</v>
      </c>
      <c r="R34" s="11" t="n">
        <v>94.75</v>
      </c>
      <c r="S34" s="11" t="n">
        <v>97.97</v>
      </c>
      <c r="T34" s="11" t="n">
        <v>95.8</v>
      </c>
      <c r="U34" s="11" t="n">
        <v>96.01</v>
      </c>
      <c r="V34" s="11" t="n">
        <v>97.79</v>
      </c>
      <c r="W34" s="11" t="n">
        <v>93.31</v>
      </c>
      <c r="X34" s="11" t="n">
        <v>98.94</v>
      </c>
      <c r="Y34" s="11" t="n">
        <v>99.88</v>
      </c>
      <c r="Z34" s="11" t="n">
        <v>91.33</v>
      </c>
      <c r="AA34" s="11" t="n">
        <v>88.16</v>
      </c>
      <c r="AB34" s="11" t="n">
        <v>80.86</v>
      </c>
      <c r="AC34" s="11" t="n">
        <v>78.13</v>
      </c>
      <c r="AD34" s="11" t="n">
        <v>79.79</v>
      </c>
      <c r="AE34" s="11" t="n">
        <v>78.86</v>
      </c>
      <c r="AF34" s="11" t="n">
        <v>76.01</v>
      </c>
      <c r="AG34" s="11" t="n">
        <v>74.96</v>
      </c>
      <c r="AH34" s="11" t="n">
        <v>75.64</v>
      </c>
      <c r="AI34" s="11" t="n">
        <v>75.82</v>
      </c>
      <c r="AJ34" s="11" t="n">
        <v>83.53</v>
      </c>
      <c r="AK34" s="11" t="n">
        <v>93.9</v>
      </c>
      <c r="AL34" s="11" t="n">
        <v>87.74</v>
      </c>
      <c r="AM34" s="11" t="n">
        <v>87.73</v>
      </c>
      <c r="AN34" s="11" t="n">
        <v>82.43</v>
      </c>
      <c r="AO34" s="11" t="n">
        <v>84.38</v>
      </c>
      <c r="AP34" s="11" t="n">
        <v>82.13</v>
      </c>
      <c r="AQ34" s="11" t="n">
        <v>77.25</v>
      </c>
      <c r="AR34" s="11" t="n">
        <v>76.95</v>
      </c>
      <c r="AS34" s="11" t="n">
        <v>74.64</v>
      </c>
      <c r="AT34" s="11" t="n">
        <v>72.49</v>
      </c>
      <c r="AU34" s="11" t="n">
        <v>75.1</v>
      </c>
      <c r="AV34" s="11" t="n">
        <v>83.44</v>
      </c>
      <c r="AW34" s="11" t="n">
        <v>92.8</v>
      </c>
      <c r="AX34" s="11" t="n">
        <v>87.52</v>
      </c>
      <c r="AY34" s="11" t="n">
        <v>86.31</v>
      </c>
      <c r="AZ34" s="11" t="n">
        <v>89.84</v>
      </c>
      <c r="BA34" s="11" t="n">
        <v>91.03</v>
      </c>
      <c r="BB34" s="11" t="n">
        <v>87.4</v>
      </c>
      <c r="BC34" s="11" t="n">
        <v>84.44</v>
      </c>
      <c r="BD34" s="11" t="n">
        <v>85.72</v>
      </c>
      <c r="BE34" s="11" t="n">
        <v>84.69</v>
      </c>
      <c r="BF34" s="11" t="n">
        <v>84.56</v>
      </c>
      <c r="BG34" s="11" t="n">
        <v>90.08</v>
      </c>
      <c r="BH34" s="11" t="n">
        <v>95.37</v>
      </c>
      <c r="BI34" s="11" t="n">
        <v>101.92</v>
      </c>
      <c r="BJ34" s="11" t="n">
        <v>103.61</v>
      </c>
      <c r="BK34" s="11" t="n">
        <v>98.84</v>
      </c>
      <c r="BL34" s="11" t="n">
        <v>100.16</v>
      </c>
      <c r="BM34" s="11" t="n">
        <v>106.93</v>
      </c>
      <c r="BN34" s="11" t="n">
        <v>107.54</v>
      </c>
      <c r="BO34" s="11" t="n">
        <v>102.27</v>
      </c>
      <c r="BP34" s="11" t="n">
        <v>98.81</v>
      </c>
      <c r="BQ34" s="11" t="n">
        <v>100.94</v>
      </c>
    </row>
    <row r="35" customFormat="false" ht="15" hidden="false" customHeight="false" outlineLevel="0" collapsed="false">
      <c r="A35" s="8" t="s">
        <v>124</v>
      </c>
      <c r="B35" s="9" t="s">
        <v>126</v>
      </c>
      <c r="C35" s="10" t="s">
        <v>87</v>
      </c>
      <c r="D35" s="8" t="n">
        <v>3.4</v>
      </c>
      <c r="E35" s="11" t="n">
        <v>90.29</v>
      </c>
      <c r="F35" s="11" t="n">
        <v>87.98</v>
      </c>
      <c r="G35" s="11" t="n">
        <v>98.42</v>
      </c>
      <c r="H35" s="11" t="n">
        <v>113.16</v>
      </c>
      <c r="I35" s="11" t="n">
        <v>119.41</v>
      </c>
      <c r="J35" s="11" t="n">
        <v>127.91</v>
      </c>
      <c r="K35" s="11" t="n">
        <v>126.52</v>
      </c>
      <c r="L35" s="11" t="n">
        <v>130.21</v>
      </c>
      <c r="M35" s="11" t="n">
        <v>135.48</v>
      </c>
      <c r="N35" s="11" t="n">
        <v>115.34</v>
      </c>
      <c r="O35" s="11" t="n">
        <v>130.95</v>
      </c>
      <c r="P35" s="11" t="n">
        <v>124.14</v>
      </c>
      <c r="Q35" s="11" t="n">
        <v>112.3</v>
      </c>
      <c r="R35" s="11" t="n">
        <v>102.78</v>
      </c>
      <c r="S35" s="11" t="n">
        <v>103.16</v>
      </c>
      <c r="T35" s="11" t="n">
        <v>132.2</v>
      </c>
      <c r="U35" s="11" t="n">
        <v>161.01</v>
      </c>
      <c r="V35" s="11" t="n">
        <v>152.47</v>
      </c>
      <c r="W35" s="11" t="n">
        <v>144.24</v>
      </c>
      <c r="X35" s="11" t="n">
        <v>155.4</v>
      </c>
      <c r="Y35" s="11" t="n">
        <v>148.87</v>
      </c>
      <c r="Z35" s="11" t="n">
        <v>133.04</v>
      </c>
      <c r="AA35" s="11" t="n">
        <v>125.61</v>
      </c>
      <c r="AB35" s="11" t="n">
        <v>128.25</v>
      </c>
      <c r="AC35" s="11" t="n">
        <v>116.99</v>
      </c>
      <c r="AD35" s="11" t="n">
        <v>105.65</v>
      </c>
      <c r="AE35" s="11" t="n">
        <v>114.94</v>
      </c>
      <c r="AF35" s="11" t="n">
        <v>123.47</v>
      </c>
      <c r="AG35" s="11" t="n">
        <v>130.93</v>
      </c>
      <c r="AH35" s="11" t="n">
        <v>130.02</v>
      </c>
      <c r="AI35" s="11" t="n">
        <v>131.44</v>
      </c>
      <c r="AJ35" s="11" t="n">
        <v>133.55</v>
      </c>
      <c r="AK35" s="11" t="n">
        <v>141.54</v>
      </c>
      <c r="AL35" s="11" t="n">
        <v>122.22</v>
      </c>
      <c r="AM35" s="11" t="n">
        <v>117.63</v>
      </c>
      <c r="AN35" s="11" t="n">
        <v>112.94</v>
      </c>
      <c r="AO35" s="11" t="n">
        <v>108.44</v>
      </c>
      <c r="AP35" s="11" t="n">
        <v>98.25</v>
      </c>
      <c r="AQ35" s="11" t="n">
        <v>109.96</v>
      </c>
      <c r="AR35" s="11" t="n">
        <v>115.77</v>
      </c>
      <c r="AS35" s="11" t="n">
        <v>118.75</v>
      </c>
      <c r="AT35" s="11" t="n">
        <v>133.53</v>
      </c>
      <c r="AU35" s="11" t="n">
        <v>130.37</v>
      </c>
      <c r="AV35" s="11" t="n">
        <v>137.57</v>
      </c>
      <c r="AW35" s="11" t="n">
        <v>159.78</v>
      </c>
      <c r="AX35" s="11" t="n">
        <v>133.07</v>
      </c>
      <c r="AY35" s="11" t="n">
        <v>127.57</v>
      </c>
      <c r="AZ35" s="11" t="n">
        <v>127.95</v>
      </c>
      <c r="BA35" s="11" t="n">
        <v>121.5</v>
      </c>
      <c r="BB35" s="11" t="n">
        <v>112.37</v>
      </c>
      <c r="BC35" s="11" t="n">
        <v>119.17</v>
      </c>
      <c r="BD35" s="11" t="n">
        <v>128.96</v>
      </c>
      <c r="BE35" s="11" t="n">
        <v>131.75</v>
      </c>
      <c r="BF35" s="11" t="n">
        <v>144.33</v>
      </c>
      <c r="BG35" s="11" t="n">
        <v>150.43</v>
      </c>
      <c r="BH35" s="11" t="n">
        <v>157.6</v>
      </c>
      <c r="BI35" s="11" t="n">
        <v>162.75</v>
      </c>
      <c r="BJ35" s="11" t="n">
        <v>139.57</v>
      </c>
      <c r="BK35" s="11" t="n">
        <v>133.84</v>
      </c>
      <c r="BL35" s="11" t="n">
        <v>133.36</v>
      </c>
      <c r="BM35" s="11" t="n">
        <v>127.79</v>
      </c>
      <c r="BN35" s="11" t="n">
        <v>131.41</v>
      </c>
      <c r="BO35" s="11" t="n">
        <v>125.6</v>
      </c>
      <c r="BP35" s="11" t="n">
        <v>142.34</v>
      </c>
      <c r="BQ35" s="11" t="n">
        <v>144.68</v>
      </c>
    </row>
    <row r="36" customFormat="false" ht="15" hidden="false" customHeight="false" outlineLevel="0" collapsed="false">
      <c r="A36" s="8" t="s">
        <v>124</v>
      </c>
      <c r="B36" s="9" t="s">
        <v>127</v>
      </c>
      <c r="C36" s="10" t="s">
        <v>87</v>
      </c>
      <c r="D36" s="8" t="n">
        <v>2</v>
      </c>
      <c r="E36" s="11" t="n">
        <v>126.09</v>
      </c>
      <c r="F36" s="11" t="n">
        <v>133.86</v>
      </c>
      <c r="G36" s="11" t="n">
        <v>124.18</v>
      </c>
      <c r="H36" s="11" t="n">
        <v>123.25</v>
      </c>
      <c r="I36" s="11" t="n">
        <v>122.14</v>
      </c>
      <c r="J36" s="11" t="n">
        <v>117.7</v>
      </c>
      <c r="K36" s="11" t="n">
        <v>139.37</v>
      </c>
      <c r="L36" s="11" t="n">
        <v>136.22</v>
      </c>
      <c r="M36" s="11" t="n">
        <v>125.86</v>
      </c>
      <c r="N36" s="11" t="n">
        <v>141.99</v>
      </c>
      <c r="O36" s="11" t="n">
        <v>125.48</v>
      </c>
      <c r="P36" s="11" t="n">
        <v>133.07</v>
      </c>
      <c r="Q36" s="11" t="n">
        <v>145.38</v>
      </c>
      <c r="R36" s="11" t="n">
        <v>150.04</v>
      </c>
      <c r="S36" s="11" t="n">
        <v>160.65</v>
      </c>
      <c r="T36" s="11" t="n">
        <v>158.74</v>
      </c>
      <c r="U36" s="11" t="n">
        <v>154.87</v>
      </c>
      <c r="V36" s="11" t="n">
        <v>158.79</v>
      </c>
      <c r="W36" s="11" t="n">
        <v>166.38</v>
      </c>
      <c r="X36" s="11" t="n">
        <v>155.72</v>
      </c>
      <c r="Y36" s="11" t="n">
        <v>145.19</v>
      </c>
      <c r="Z36" s="11" t="n">
        <v>151.9</v>
      </c>
      <c r="AA36" s="11" t="n">
        <v>160.87</v>
      </c>
      <c r="AB36" s="11" t="n">
        <v>171.4</v>
      </c>
      <c r="AC36" s="11" t="n">
        <v>160.21</v>
      </c>
      <c r="AD36" s="11" t="n">
        <v>163.28</v>
      </c>
      <c r="AE36" s="11" t="n">
        <v>177.16</v>
      </c>
      <c r="AF36" s="11" t="n">
        <v>171.31</v>
      </c>
      <c r="AG36" s="11" t="n">
        <v>174.5</v>
      </c>
      <c r="AH36" s="11" t="n">
        <v>171.79</v>
      </c>
      <c r="AI36" s="11" t="n">
        <v>178.74</v>
      </c>
      <c r="AJ36" s="11" t="n">
        <v>175.62</v>
      </c>
      <c r="AK36" s="11" t="n">
        <v>164.82</v>
      </c>
      <c r="AL36" s="11" t="n">
        <v>158.61</v>
      </c>
      <c r="AM36" s="11" t="n">
        <v>152.31</v>
      </c>
      <c r="AN36" s="11" t="n">
        <v>151.45</v>
      </c>
      <c r="AO36" s="11" t="n">
        <v>147.18</v>
      </c>
      <c r="AP36" s="11" t="n">
        <v>156.96</v>
      </c>
      <c r="AQ36" s="11" t="n">
        <v>158.84</v>
      </c>
      <c r="AR36" s="11" t="n">
        <v>159.48</v>
      </c>
      <c r="AS36" s="11" t="n">
        <v>150.87</v>
      </c>
      <c r="AT36" s="11" t="n">
        <v>146.39</v>
      </c>
      <c r="AU36" s="11" t="n">
        <v>152.01</v>
      </c>
      <c r="AV36" s="11" t="n">
        <v>154.78</v>
      </c>
      <c r="AW36" s="11" t="n">
        <v>154.07</v>
      </c>
      <c r="AX36" s="11" t="n">
        <v>142</v>
      </c>
      <c r="AY36" s="11" t="n">
        <v>133.7</v>
      </c>
      <c r="AZ36" s="11" t="n">
        <v>152.81</v>
      </c>
      <c r="BA36" s="11" t="n">
        <v>160.42</v>
      </c>
      <c r="BB36" s="11" t="n">
        <v>159.23</v>
      </c>
      <c r="BC36" s="11" t="n">
        <v>160.82</v>
      </c>
      <c r="BD36" s="11" t="n">
        <v>166.61</v>
      </c>
      <c r="BE36" s="11" t="n">
        <v>171.59</v>
      </c>
      <c r="BF36" s="11" t="n">
        <v>162.51</v>
      </c>
      <c r="BG36" s="11" t="n">
        <v>167.45</v>
      </c>
      <c r="BH36" s="11" t="n">
        <v>163.63</v>
      </c>
      <c r="BI36" s="11" t="n">
        <v>155.29</v>
      </c>
      <c r="BJ36" s="11" t="n">
        <v>151.22</v>
      </c>
      <c r="BK36" s="11" t="n">
        <v>155.16</v>
      </c>
      <c r="BL36" s="11" t="n">
        <v>166.27</v>
      </c>
      <c r="BM36" s="11" t="n">
        <v>163.93</v>
      </c>
      <c r="BN36" s="11" t="n">
        <v>172.52</v>
      </c>
      <c r="BO36" s="11" t="n">
        <v>181.17</v>
      </c>
      <c r="BP36" s="11" t="n">
        <v>187.37</v>
      </c>
      <c r="BQ36" s="11" t="n">
        <v>182.9</v>
      </c>
    </row>
    <row r="37" customFormat="false" ht="15" hidden="false" customHeight="false" outlineLevel="0" collapsed="false">
      <c r="A37" s="8" t="s">
        <v>124</v>
      </c>
      <c r="B37" s="9" t="s">
        <v>128</v>
      </c>
      <c r="C37" s="10" t="s">
        <v>87</v>
      </c>
      <c r="D37" s="8" t="n">
        <v>0.2</v>
      </c>
      <c r="E37" s="11" t="n">
        <v>115.42</v>
      </c>
      <c r="F37" s="11" t="n">
        <v>128.94</v>
      </c>
      <c r="G37" s="11" t="n">
        <v>142.24</v>
      </c>
      <c r="H37" s="11" t="n">
        <v>153.28</v>
      </c>
      <c r="I37" s="11" t="n">
        <v>148.5</v>
      </c>
      <c r="J37" s="11" t="n">
        <v>141.7</v>
      </c>
      <c r="K37" s="11" t="n">
        <v>146.47</v>
      </c>
      <c r="L37" s="11" t="n">
        <v>151.91</v>
      </c>
      <c r="M37" s="11" t="n">
        <v>151.91</v>
      </c>
      <c r="N37" s="11" t="n">
        <v>151.91</v>
      </c>
      <c r="O37" s="11" t="n">
        <v>151.91</v>
      </c>
      <c r="P37" s="11" t="n">
        <v>151.91</v>
      </c>
      <c r="Q37" s="11" t="n">
        <v>151.91</v>
      </c>
      <c r="R37" s="11" t="n">
        <v>151.91</v>
      </c>
      <c r="S37" s="11" t="n">
        <v>151.91</v>
      </c>
      <c r="T37" s="11" t="n">
        <v>151.91</v>
      </c>
      <c r="U37" s="11" t="n">
        <v>151.91</v>
      </c>
      <c r="V37" s="11" t="n">
        <v>151.91</v>
      </c>
      <c r="W37" s="11" t="n">
        <v>151.91</v>
      </c>
      <c r="X37" s="11" t="n">
        <v>151.91</v>
      </c>
      <c r="Y37" s="11" t="n">
        <v>151.91</v>
      </c>
      <c r="Z37" s="11" t="n">
        <v>151.91</v>
      </c>
      <c r="AA37" s="11" t="n">
        <v>151.91</v>
      </c>
      <c r="AB37" s="11" t="n">
        <v>151.91</v>
      </c>
      <c r="AC37" s="11" t="n">
        <v>151.91</v>
      </c>
      <c r="AD37" s="11" t="n">
        <v>151.91</v>
      </c>
      <c r="AE37" s="11" t="n">
        <v>156.71</v>
      </c>
      <c r="AF37" s="11" t="n">
        <v>159.99</v>
      </c>
      <c r="AG37" s="11" t="n">
        <v>168.27</v>
      </c>
      <c r="AH37" s="11" t="n">
        <v>154.39</v>
      </c>
      <c r="AI37" s="11" t="n">
        <v>142.86</v>
      </c>
      <c r="AJ37" s="11" t="n">
        <v>137.45</v>
      </c>
      <c r="AK37" s="11" t="n">
        <v>125.83</v>
      </c>
      <c r="AL37" s="11" t="n">
        <v>127.16</v>
      </c>
      <c r="AM37" s="11" t="n">
        <v>126.62</v>
      </c>
      <c r="AN37" s="11" t="n">
        <v>126.5</v>
      </c>
      <c r="AO37" s="11" t="n">
        <v>131.89</v>
      </c>
      <c r="AP37" s="11" t="n">
        <v>123.31</v>
      </c>
      <c r="AQ37" s="11" t="n">
        <v>125.82</v>
      </c>
      <c r="AR37" s="11" t="n">
        <v>108.55</v>
      </c>
      <c r="AS37" s="11" t="n">
        <v>93.28</v>
      </c>
      <c r="AT37" s="11" t="n">
        <v>84.63</v>
      </c>
      <c r="AU37" s="11" t="n">
        <v>84.32</v>
      </c>
      <c r="AV37" s="11" t="n">
        <v>86.06</v>
      </c>
      <c r="AW37" s="11" t="n">
        <v>85.43</v>
      </c>
      <c r="AX37" s="11" t="n">
        <v>82.29</v>
      </c>
      <c r="AY37" s="11" t="n">
        <v>86.12</v>
      </c>
      <c r="AZ37" s="11" t="n">
        <v>88.97</v>
      </c>
      <c r="BA37" s="11" t="n">
        <v>92.92</v>
      </c>
      <c r="BB37" s="11" t="n">
        <v>91.88</v>
      </c>
      <c r="BC37" s="11" t="n">
        <v>97.44</v>
      </c>
      <c r="BD37" s="11" t="n">
        <v>98.33</v>
      </c>
      <c r="BE37" s="11" t="n">
        <v>82.89</v>
      </c>
      <c r="BF37" s="11" t="n">
        <v>79.57</v>
      </c>
      <c r="BG37" s="11" t="n">
        <v>84.55</v>
      </c>
      <c r="BH37" s="11" t="n">
        <v>87.32</v>
      </c>
      <c r="BI37" s="11" t="n">
        <v>82.91</v>
      </c>
      <c r="BJ37" s="11" t="n">
        <v>80.39</v>
      </c>
      <c r="BK37" s="11" t="n">
        <v>81.43</v>
      </c>
      <c r="BL37" s="11" t="n">
        <v>87.97</v>
      </c>
      <c r="BM37" s="11" t="n">
        <v>101.76</v>
      </c>
      <c r="BN37" s="11" t="n">
        <v>113.34</v>
      </c>
      <c r="BO37" s="11" t="n">
        <v>126.23</v>
      </c>
      <c r="BP37" s="11" t="n">
        <v>114.32</v>
      </c>
      <c r="BQ37" s="11" t="n">
        <v>94.37</v>
      </c>
    </row>
    <row r="38" customFormat="false" ht="15" hidden="false" customHeight="false" outlineLevel="0" collapsed="false">
      <c r="A38" s="8" t="s">
        <v>124</v>
      </c>
      <c r="B38" s="9" t="s">
        <v>129</v>
      </c>
      <c r="C38" s="10" t="s">
        <v>87</v>
      </c>
      <c r="D38" s="8" t="n">
        <v>1.1</v>
      </c>
      <c r="E38" s="11" t="n">
        <v>142.6</v>
      </c>
      <c r="F38" s="11" t="n">
        <v>174.7</v>
      </c>
      <c r="G38" s="11" t="n">
        <v>170.17</v>
      </c>
      <c r="H38" s="11" t="n">
        <v>170</v>
      </c>
      <c r="I38" s="11" t="n">
        <v>178.23</v>
      </c>
      <c r="J38" s="11" t="n">
        <v>184.01</v>
      </c>
      <c r="K38" s="11" t="n">
        <v>183.19</v>
      </c>
      <c r="L38" s="11" t="n">
        <v>172.16</v>
      </c>
      <c r="M38" s="11" t="n">
        <v>160.5</v>
      </c>
      <c r="N38" s="11" t="n">
        <v>139.42</v>
      </c>
      <c r="O38" s="11" t="n">
        <v>137</v>
      </c>
      <c r="P38" s="11" t="n">
        <v>137.35</v>
      </c>
      <c r="Q38" s="11" t="n">
        <v>136.55</v>
      </c>
      <c r="R38" s="11" t="n">
        <v>131.21</v>
      </c>
      <c r="S38" s="11" t="n">
        <v>142.34</v>
      </c>
      <c r="T38" s="11" t="n">
        <v>152</v>
      </c>
      <c r="U38" s="11" t="n">
        <v>159.34</v>
      </c>
      <c r="V38" s="11" t="n">
        <v>157.71</v>
      </c>
      <c r="W38" s="11" t="n">
        <v>153.55</v>
      </c>
      <c r="X38" s="11" t="n">
        <v>149.65</v>
      </c>
      <c r="Y38" s="11" t="n">
        <v>145.68</v>
      </c>
      <c r="Z38" s="11" t="n">
        <v>143.78</v>
      </c>
      <c r="AA38" s="11" t="n">
        <v>150.2</v>
      </c>
      <c r="AB38" s="11" t="n">
        <v>152.83</v>
      </c>
      <c r="AC38" s="11" t="n">
        <v>142.79</v>
      </c>
      <c r="AD38" s="11" t="n">
        <v>127.06</v>
      </c>
      <c r="AE38" s="11" t="n">
        <v>134.14</v>
      </c>
      <c r="AF38" s="11" t="n">
        <v>140.8</v>
      </c>
      <c r="AG38" s="11" t="n">
        <v>152.65</v>
      </c>
      <c r="AH38" s="11" t="n">
        <v>150.29</v>
      </c>
      <c r="AI38" s="11" t="n">
        <v>143.25</v>
      </c>
      <c r="AJ38" s="11" t="n">
        <v>140.27</v>
      </c>
      <c r="AK38" s="11" t="n">
        <v>154.54</v>
      </c>
      <c r="AL38" s="11" t="n">
        <v>156.9</v>
      </c>
      <c r="AM38" s="11" t="n">
        <v>154.37</v>
      </c>
      <c r="AN38" s="11" t="n">
        <v>153.38</v>
      </c>
      <c r="AO38" s="11" t="n">
        <v>154.1</v>
      </c>
      <c r="AP38" s="11" t="n">
        <v>145.76</v>
      </c>
      <c r="AQ38" s="11" t="n">
        <v>140.74</v>
      </c>
      <c r="AR38" s="11" t="n">
        <v>145.53</v>
      </c>
      <c r="AS38" s="11" t="n">
        <v>148.17</v>
      </c>
      <c r="AT38" s="11" t="n">
        <v>148.86</v>
      </c>
      <c r="AU38" s="11" t="n">
        <v>147.03</v>
      </c>
      <c r="AV38" s="11" t="n">
        <v>146.2</v>
      </c>
      <c r="AW38" s="11" t="n">
        <v>152.48</v>
      </c>
      <c r="AX38" s="11" t="n">
        <v>149.88</v>
      </c>
      <c r="AY38" s="11" t="n">
        <v>149.84</v>
      </c>
      <c r="AZ38" s="11" t="n">
        <v>146.78</v>
      </c>
      <c r="BA38" s="11" t="n">
        <v>147.46</v>
      </c>
      <c r="BB38" s="11" t="n">
        <v>134.73</v>
      </c>
      <c r="BC38" s="11" t="n">
        <v>143.92</v>
      </c>
      <c r="BD38" s="11" t="n">
        <v>160.3</v>
      </c>
      <c r="BE38" s="11" t="n">
        <v>166.21</v>
      </c>
      <c r="BF38" s="11" t="n">
        <v>173.55</v>
      </c>
      <c r="BG38" s="11" t="n">
        <v>175.49</v>
      </c>
      <c r="BH38" s="11" t="n">
        <v>175.5</v>
      </c>
      <c r="BI38" s="11" t="n">
        <v>175.26</v>
      </c>
      <c r="BJ38" s="11" t="n">
        <v>168.4</v>
      </c>
      <c r="BK38" s="11" t="n">
        <v>162.41</v>
      </c>
      <c r="BL38" s="11" t="n">
        <v>156.92</v>
      </c>
      <c r="BM38" s="11" t="n">
        <v>156.97</v>
      </c>
      <c r="BN38" s="11" t="n">
        <v>158.02</v>
      </c>
      <c r="BO38" s="11" t="n">
        <v>160.29</v>
      </c>
      <c r="BP38" s="11" t="n">
        <v>167.95</v>
      </c>
      <c r="BQ38" s="11" t="n">
        <v>178.84</v>
      </c>
    </row>
    <row r="39" customFormat="false" ht="15" hidden="false" customHeight="false" outlineLevel="0" collapsed="false">
      <c r="A39" s="8" t="s">
        <v>124</v>
      </c>
      <c r="B39" s="9" t="s">
        <v>130</v>
      </c>
      <c r="C39" s="10" t="s">
        <v>87</v>
      </c>
      <c r="D39" s="8" t="n">
        <v>0.2</v>
      </c>
      <c r="E39" s="11" t="n">
        <v>102.83</v>
      </c>
      <c r="F39" s="11" t="n">
        <v>102.83</v>
      </c>
      <c r="G39" s="11" t="n">
        <v>102.83</v>
      </c>
      <c r="H39" s="11" t="n">
        <v>102.83</v>
      </c>
      <c r="I39" s="11" t="n">
        <v>102.83</v>
      </c>
      <c r="J39" s="11" t="n">
        <v>115.16</v>
      </c>
      <c r="K39" s="11" t="n">
        <v>115.16</v>
      </c>
      <c r="L39" s="11" t="n">
        <v>115.16</v>
      </c>
      <c r="M39" s="11" t="n">
        <v>115.16</v>
      </c>
      <c r="N39" s="11" t="n">
        <v>115.16</v>
      </c>
      <c r="O39" s="11" t="n">
        <v>115.16</v>
      </c>
      <c r="P39" s="11" t="n">
        <v>115.16</v>
      </c>
      <c r="Q39" s="11" t="n">
        <v>115.16</v>
      </c>
      <c r="R39" s="11" t="n">
        <v>115.16</v>
      </c>
      <c r="S39" s="11" t="n">
        <v>115.16</v>
      </c>
      <c r="T39" s="11" t="n">
        <v>115.16</v>
      </c>
      <c r="U39" s="11" t="n">
        <v>115.16</v>
      </c>
      <c r="V39" s="11" t="n">
        <v>120.3</v>
      </c>
      <c r="W39" s="11" t="n">
        <v>123.37</v>
      </c>
      <c r="X39" s="11" t="n">
        <v>123.37</v>
      </c>
      <c r="Y39" s="11" t="n">
        <v>123.37</v>
      </c>
      <c r="Z39" s="11" t="n">
        <v>123.37</v>
      </c>
      <c r="AA39" s="11" t="n">
        <v>123.37</v>
      </c>
      <c r="AB39" s="11" t="n">
        <v>123.37</v>
      </c>
      <c r="AC39" s="11" t="n">
        <v>123.37</v>
      </c>
      <c r="AD39" s="11" t="n">
        <v>123.37</v>
      </c>
      <c r="AE39" s="11" t="n">
        <v>123.37</v>
      </c>
      <c r="AF39" s="11" t="n">
        <v>123.37</v>
      </c>
      <c r="AG39" s="11" t="n">
        <v>123.37</v>
      </c>
      <c r="AH39" s="11" t="n">
        <v>123.37</v>
      </c>
      <c r="AI39" s="11" t="n">
        <v>123.37</v>
      </c>
      <c r="AJ39" s="11" t="n">
        <v>123.37</v>
      </c>
      <c r="AK39" s="11" t="n">
        <v>123.37</v>
      </c>
      <c r="AL39" s="11" t="n">
        <v>123.37</v>
      </c>
      <c r="AM39" s="11" t="n">
        <v>123.37</v>
      </c>
      <c r="AN39" s="11" t="n">
        <v>123.37</v>
      </c>
      <c r="AO39" s="11" t="n">
        <v>123.37</v>
      </c>
      <c r="AP39" s="11" t="n">
        <v>123.37</v>
      </c>
      <c r="AQ39" s="11" t="n">
        <v>123.37</v>
      </c>
      <c r="AR39" s="11" t="n">
        <v>123.37</v>
      </c>
      <c r="AS39" s="11" t="n">
        <v>123.37</v>
      </c>
      <c r="AT39" s="11" t="n">
        <v>123.37</v>
      </c>
      <c r="AU39" s="11" t="n">
        <v>117.37</v>
      </c>
      <c r="AV39" s="11" t="n">
        <v>117.37</v>
      </c>
      <c r="AW39" s="11" t="n">
        <v>117.37</v>
      </c>
      <c r="AX39" s="11" t="n">
        <v>117.37</v>
      </c>
      <c r="AY39" s="11" t="n">
        <v>117.37</v>
      </c>
      <c r="AZ39" s="11" t="n">
        <v>117.37</v>
      </c>
      <c r="BA39" s="11" t="n">
        <v>117.37</v>
      </c>
      <c r="BB39" s="11" t="n">
        <v>117.37</v>
      </c>
      <c r="BC39" s="11" t="n">
        <v>117.37</v>
      </c>
      <c r="BD39" s="11" t="n">
        <v>117.37</v>
      </c>
      <c r="BE39" s="11" t="n">
        <v>117.37</v>
      </c>
      <c r="BF39" s="11" t="n">
        <v>117.37</v>
      </c>
      <c r="BG39" s="11" t="n">
        <v>117.37</v>
      </c>
      <c r="BH39" s="11" t="n">
        <v>117.37</v>
      </c>
      <c r="BI39" s="11" t="n">
        <v>117.37</v>
      </c>
      <c r="BJ39" s="11" t="n">
        <v>117.37</v>
      </c>
      <c r="BK39" s="11" t="n">
        <v>117.37</v>
      </c>
      <c r="BL39" s="11" t="n">
        <v>117.37</v>
      </c>
      <c r="BM39" s="11" t="n">
        <v>117.37</v>
      </c>
      <c r="BN39" s="11" t="n">
        <v>117.37</v>
      </c>
      <c r="BO39" s="11" t="n">
        <v>117.37</v>
      </c>
      <c r="BP39" s="11" t="n">
        <v>117.37</v>
      </c>
      <c r="BQ39" s="11" t="n">
        <v>117.37</v>
      </c>
    </row>
    <row r="40" customFormat="false" ht="15" hidden="false" customHeight="false" outlineLevel="0" collapsed="false">
      <c r="A40" s="8" t="s">
        <v>131</v>
      </c>
      <c r="B40" s="9" t="s">
        <v>132</v>
      </c>
      <c r="C40" s="10" t="s">
        <v>87</v>
      </c>
      <c r="D40" s="8" t="n">
        <v>0.2</v>
      </c>
      <c r="E40" s="11" t="n">
        <v>98.11</v>
      </c>
      <c r="F40" s="11" t="n">
        <v>98.11</v>
      </c>
      <c r="G40" s="11" t="n">
        <v>98.11</v>
      </c>
      <c r="H40" s="11" t="n">
        <v>98.11</v>
      </c>
      <c r="I40" s="11" t="n">
        <v>98.47</v>
      </c>
      <c r="J40" s="11" t="n">
        <v>98.47</v>
      </c>
      <c r="K40" s="11" t="n">
        <v>100.14</v>
      </c>
      <c r="L40" s="11" t="n">
        <v>100.14</v>
      </c>
      <c r="M40" s="11" t="n">
        <v>100.14</v>
      </c>
      <c r="N40" s="11" t="n">
        <v>100.14</v>
      </c>
      <c r="O40" s="11" t="n">
        <v>102.23</v>
      </c>
      <c r="P40" s="11" t="n">
        <v>102.23</v>
      </c>
      <c r="Q40" s="11" t="n">
        <v>102.23</v>
      </c>
      <c r="R40" s="11" t="n">
        <v>102.23</v>
      </c>
      <c r="S40" s="11" t="n">
        <v>108.82</v>
      </c>
      <c r="T40" s="11" t="n">
        <v>108.82</v>
      </c>
      <c r="U40" s="11" t="n">
        <v>108.82</v>
      </c>
      <c r="V40" s="11" t="n">
        <v>110.93</v>
      </c>
      <c r="W40" s="11" t="n">
        <v>110.93</v>
      </c>
      <c r="X40" s="11" t="n">
        <v>110.93</v>
      </c>
      <c r="Y40" s="11" t="n">
        <v>110.93</v>
      </c>
      <c r="Z40" s="11" t="n">
        <v>110.53</v>
      </c>
      <c r="AA40" s="11" t="n">
        <v>110.53</v>
      </c>
      <c r="AB40" s="11" t="n">
        <v>110.53</v>
      </c>
      <c r="AC40" s="11" t="n">
        <v>110.7</v>
      </c>
      <c r="AD40" s="11" t="n">
        <v>110.7</v>
      </c>
      <c r="AE40" s="11" t="n">
        <v>110.7</v>
      </c>
      <c r="AF40" s="11" t="n">
        <v>111.24</v>
      </c>
      <c r="AG40" s="11" t="n">
        <v>111.24</v>
      </c>
      <c r="AH40" s="11" t="n">
        <v>111.24</v>
      </c>
      <c r="AI40" s="11" t="n">
        <v>109.06</v>
      </c>
      <c r="AJ40" s="11" t="n">
        <v>109.06</v>
      </c>
      <c r="AK40" s="11" t="n">
        <v>109.06</v>
      </c>
      <c r="AL40" s="11" t="n">
        <v>107.3</v>
      </c>
      <c r="AM40" s="11" t="n">
        <v>107.3</v>
      </c>
      <c r="AN40" s="11" t="n">
        <v>107.3</v>
      </c>
      <c r="AO40" s="11" t="n">
        <v>106.39</v>
      </c>
      <c r="AP40" s="11" t="n">
        <v>106.39</v>
      </c>
      <c r="AQ40" s="11" t="n">
        <v>106.39</v>
      </c>
      <c r="AR40" s="11" t="n">
        <v>105.69</v>
      </c>
      <c r="AS40" s="11" t="n">
        <v>105.69</v>
      </c>
      <c r="AT40" s="11" t="n">
        <v>105.69</v>
      </c>
      <c r="AU40" s="11" t="n">
        <v>105.26</v>
      </c>
      <c r="AV40" s="11" t="n">
        <v>105.26</v>
      </c>
      <c r="AW40" s="11" t="n">
        <v>105.26</v>
      </c>
      <c r="AX40" s="11" t="n">
        <v>103.69</v>
      </c>
      <c r="AY40" s="11" t="n">
        <v>103.69</v>
      </c>
      <c r="AZ40" s="11" t="n">
        <v>103.69</v>
      </c>
      <c r="BA40" s="11" t="n">
        <v>103.45</v>
      </c>
      <c r="BB40" s="11" t="n">
        <v>103.45</v>
      </c>
      <c r="BC40" s="11" t="n">
        <v>103.45</v>
      </c>
      <c r="BD40" s="11" t="n">
        <v>103.41</v>
      </c>
      <c r="BE40" s="11" t="n">
        <v>103.41</v>
      </c>
      <c r="BF40" s="11" t="n">
        <v>103.41</v>
      </c>
      <c r="BG40" s="11" t="n">
        <v>103.67</v>
      </c>
      <c r="BH40" s="11" t="n">
        <v>103.67</v>
      </c>
      <c r="BI40" s="11" t="n">
        <v>103.67</v>
      </c>
      <c r="BJ40" s="11" t="n">
        <v>103.43</v>
      </c>
      <c r="BK40" s="11" t="n">
        <v>103.43</v>
      </c>
      <c r="BL40" s="11" t="n">
        <v>103.43</v>
      </c>
      <c r="BM40" s="11" t="n">
        <v>102.57</v>
      </c>
      <c r="BN40" s="11" t="n">
        <v>102.57</v>
      </c>
      <c r="BO40" s="11" t="n">
        <v>102.57</v>
      </c>
      <c r="BP40" s="11" t="n">
        <v>102.85</v>
      </c>
      <c r="BQ40" s="11" t="n">
        <v>102.85</v>
      </c>
    </row>
    <row r="41" customFormat="false" ht="15" hidden="false" customHeight="false" outlineLevel="0" collapsed="false">
      <c r="A41" s="8" t="s">
        <v>131</v>
      </c>
      <c r="B41" s="9" t="s">
        <v>133</v>
      </c>
      <c r="C41" s="10" t="s">
        <v>87</v>
      </c>
      <c r="D41" s="8" t="n">
        <v>0.1</v>
      </c>
      <c r="E41" s="11" t="n">
        <v>138.7</v>
      </c>
      <c r="F41" s="11" t="n">
        <v>126.46</v>
      </c>
      <c r="G41" s="11" t="n">
        <v>108.72</v>
      </c>
      <c r="H41" s="11" t="n">
        <v>91.1</v>
      </c>
      <c r="I41" s="11" t="n">
        <v>84.3</v>
      </c>
      <c r="J41" s="11" t="n">
        <v>92.7</v>
      </c>
      <c r="K41" s="11" t="n">
        <v>133</v>
      </c>
      <c r="L41" s="11" t="n">
        <v>168.02</v>
      </c>
      <c r="M41" s="11" t="n">
        <v>196.44</v>
      </c>
      <c r="N41" s="11" t="n">
        <v>100.53</v>
      </c>
      <c r="O41" s="11" t="n">
        <v>101.9</v>
      </c>
      <c r="P41" s="11" t="n">
        <v>118.81</v>
      </c>
      <c r="Q41" s="11" t="n">
        <v>140.04</v>
      </c>
      <c r="R41" s="11" t="n">
        <v>140.71</v>
      </c>
      <c r="S41" s="11" t="n">
        <v>126.16</v>
      </c>
      <c r="T41" s="11" t="n">
        <v>118.39</v>
      </c>
      <c r="U41" s="11" t="n">
        <v>127.51</v>
      </c>
      <c r="V41" s="11" t="n">
        <v>135.47</v>
      </c>
      <c r="W41" s="11" t="n">
        <v>178.72</v>
      </c>
      <c r="X41" s="11" t="n">
        <v>195.69</v>
      </c>
      <c r="Y41" s="11" t="n">
        <v>207.55</v>
      </c>
      <c r="Z41" s="11" t="n">
        <v>99.75</v>
      </c>
      <c r="AA41" s="11" t="n">
        <v>86.24</v>
      </c>
      <c r="AB41" s="11" t="n">
        <v>139.35</v>
      </c>
      <c r="AC41" s="11" t="n">
        <v>198.46</v>
      </c>
      <c r="AD41" s="11" t="n">
        <v>165.44</v>
      </c>
      <c r="AE41" s="11" t="n">
        <v>126.63</v>
      </c>
      <c r="AF41" s="11" t="n">
        <v>121.35</v>
      </c>
      <c r="AG41" s="11" t="n">
        <v>134.58</v>
      </c>
      <c r="AH41" s="11" t="n">
        <v>84.61</v>
      </c>
      <c r="AI41" s="11" t="n">
        <v>179.55</v>
      </c>
      <c r="AJ41" s="11" t="n">
        <v>266.53</v>
      </c>
      <c r="AK41" s="11" t="n">
        <v>279.22</v>
      </c>
      <c r="AL41" s="11" t="n">
        <v>137.82</v>
      </c>
      <c r="AM41" s="11" t="n">
        <v>89.2</v>
      </c>
      <c r="AN41" s="11" t="n">
        <v>173.32</v>
      </c>
      <c r="AO41" s="11" t="n">
        <v>174.22</v>
      </c>
      <c r="AP41" s="11" t="n">
        <v>154.79</v>
      </c>
      <c r="AQ41" s="11" t="n">
        <v>177.57</v>
      </c>
      <c r="AR41" s="11" t="n">
        <v>127.36</v>
      </c>
      <c r="AS41" s="11" t="n">
        <v>139.42</v>
      </c>
      <c r="AT41" s="11" t="n">
        <v>101.57</v>
      </c>
      <c r="AU41" s="11" t="n">
        <v>155.78</v>
      </c>
      <c r="AV41" s="11" t="n">
        <v>364.51</v>
      </c>
      <c r="AW41" s="11" t="n">
        <v>389.69</v>
      </c>
      <c r="AX41" s="11" t="n">
        <v>232.3</v>
      </c>
      <c r="AY41" s="11" t="n">
        <v>95</v>
      </c>
      <c r="AZ41" s="11" t="n">
        <v>106.23</v>
      </c>
      <c r="BA41" s="11" t="n">
        <v>144.36</v>
      </c>
      <c r="BB41" s="11" t="n">
        <v>163.58</v>
      </c>
      <c r="BC41" s="11" t="n">
        <v>156.16</v>
      </c>
      <c r="BD41" s="11" t="n">
        <v>115.94</v>
      </c>
      <c r="BE41" s="11" t="n">
        <v>143.93</v>
      </c>
      <c r="BF41" s="11" t="n">
        <v>135.95</v>
      </c>
      <c r="BG41" s="11" t="n">
        <v>195.7</v>
      </c>
      <c r="BH41" s="11" t="n">
        <v>271.67</v>
      </c>
      <c r="BI41" s="11" t="n">
        <v>293.06</v>
      </c>
      <c r="BJ41" s="11" t="n">
        <v>154.21</v>
      </c>
      <c r="BK41" s="11" t="n">
        <v>97.98</v>
      </c>
      <c r="BL41" s="11" t="n">
        <v>110.62</v>
      </c>
      <c r="BM41" s="11" t="n">
        <v>158.14</v>
      </c>
      <c r="BN41" s="11" t="n">
        <v>156.87</v>
      </c>
      <c r="BO41" s="11" t="n">
        <v>112.64</v>
      </c>
      <c r="BP41" s="11" t="n">
        <v>119.57</v>
      </c>
      <c r="BQ41" s="11" t="n">
        <v>117.69</v>
      </c>
    </row>
    <row r="42" customFormat="false" ht="15" hidden="false" customHeight="false" outlineLevel="0" collapsed="false">
      <c r="A42" s="8" t="s">
        <v>131</v>
      </c>
      <c r="B42" s="9" t="s">
        <v>134</v>
      </c>
      <c r="C42" s="10" t="s">
        <v>87</v>
      </c>
      <c r="D42" s="8" t="n">
        <v>0.1</v>
      </c>
      <c r="E42" s="11" t="n">
        <v>107.09</v>
      </c>
      <c r="F42" s="11" t="n">
        <v>102.02</v>
      </c>
      <c r="G42" s="11" t="n">
        <v>107.33</v>
      </c>
      <c r="H42" s="11" t="n">
        <v>109.42</v>
      </c>
      <c r="I42" s="11" t="n">
        <v>110.44</v>
      </c>
      <c r="J42" s="11" t="n">
        <v>127.96</v>
      </c>
      <c r="K42" s="11" t="n">
        <v>127.96</v>
      </c>
      <c r="L42" s="11" t="n">
        <v>127.96</v>
      </c>
      <c r="M42" s="11" t="n">
        <v>99.5</v>
      </c>
      <c r="N42" s="11" t="n">
        <v>92.47</v>
      </c>
      <c r="O42" s="11" t="n">
        <v>90.98</v>
      </c>
      <c r="P42" s="11" t="n">
        <v>94</v>
      </c>
      <c r="Q42" s="11" t="n">
        <v>97.23</v>
      </c>
      <c r="R42" s="11" t="n">
        <v>100.06</v>
      </c>
      <c r="S42" s="11" t="n">
        <v>96.16</v>
      </c>
      <c r="T42" s="11" t="n">
        <v>115.34</v>
      </c>
      <c r="U42" s="11" t="n">
        <v>91.12</v>
      </c>
      <c r="V42" s="11" t="n">
        <v>91.12</v>
      </c>
      <c r="W42" s="11" t="n">
        <v>91.12</v>
      </c>
      <c r="X42" s="11" t="n">
        <v>91.12</v>
      </c>
      <c r="Y42" s="11" t="n">
        <v>89.82</v>
      </c>
      <c r="Z42" s="11" t="n">
        <v>97.79</v>
      </c>
      <c r="AA42" s="11" t="n">
        <v>102.15</v>
      </c>
      <c r="AB42" s="11" t="n">
        <v>112.89</v>
      </c>
      <c r="AC42" s="11" t="n">
        <v>109.48</v>
      </c>
      <c r="AD42" s="11" t="n">
        <v>110.12</v>
      </c>
      <c r="AE42" s="11" t="n">
        <v>111.81</v>
      </c>
      <c r="AF42" s="11" t="n">
        <v>113.41</v>
      </c>
      <c r="AG42" s="11" t="n">
        <v>114.98</v>
      </c>
      <c r="AH42" s="11" t="n">
        <v>115.97</v>
      </c>
      <c r="AI42" s="11" t="n">
        <v>115.97</v>
      </c>
      <c r="AJ42" s="11" t="n">
        <v>115.97</v>
      </c>
      <c r="AK42" s="11" t="n">
        <v>104.29</v>
      </c>
      <c r="AL42" s="11" t="n">
        <v>98.84</v>
      </c>
      <c r="AM42" s="11" t="n">
        <v>104.34</v>
      </c>
      <c r="AN42" s="11" t="n">
        <v>109.23</v>
      </c>
      <c r="AO42" s="11" t="n">
        <v>119.74</v>
      </c>
      <c r="AP42" s="11" t="n">
        <v>116.34</v>
      </c>
      <c r="AQ42" s="11" t="n">
        <v>126.05</v>
      </c>
      <c r="AR42" s="11" t="n">
        <v>126.05</v>
      </c>
      <c r="AS42" s="11" t="n">
        <v>126.05</v>
      </c>
      <c r="AT42" s="11" t="n">
        <v>126.05</v>
      </c>
      <c r="AU42" s="11" t="n">
        <v>126.05</v>
      </c>
      <c r="AV42" s="11" t="n">
        <v>126.05</v>
      </c>
      <c r="AW42" s="11" t="n">
        <v>107.8</v>
      </c>
      <c r="AX42" s="11" t="n">
        <v>106.49</v>
      </c>
      <c r="AY42" s="11" t="n">
        <v>113.26</v>
      </c>
      <c r="AZ42" s="11" t="n">
        <v>107.2</v>
      </c>
      <c r="BA42" s="11" t="n">
        <v>124.26</v>
      </c>
      <c r="BB42" s="11" t="n">
        <v>119.69</v>
      </c>
      <c r="BC42" s="11" t="n">
        <v>125.09</v>
      </c>
      <c r="BD42" s="11" t="n">
        <v>123.55</v>
      </c>
      <c r="BE42" s="11" t="n">
        <v>123.55</v>
      </c>
      <c r="BF42" s="11" t="n">
        <v>123.55</v>
      </c>
      <c r="BG42" s="11" t="n">
        <v>123.55</v>
      </c>
      <c r="BH42" s="11" t="n">
        <v>123.55</v>
      </c>
      <c r="BI42" s="11" t="n">
        <v>116.99</v>
      </c>
      <c r="BJ42" s="11" t="n">
        <v>105.48</v>
      </c>
      <c r="BK42" s="11" t="n">
        <v>110.66</v>
      </c>
      <c r="BL42" s="11" t="n">
        <v>97.61</v>
      </c>
      <c r="BM42" s="11" t="n">
        <v>107.19</v>
      </c>
      <c r="BN42" s="11" t="n">
        <v>104.2</v>
      </c>
      <c r="BO42" s="11" t="n">
        <v>104.2</v>
      </c>
      <c r="BP42" s="11" t="n">
        <v>104.2</v>
      </c>
      <c r="BQ42" s="11" t="n">
        <v>104.2</v>
      </c>
    </row>
    <row r="43" customFormat="false" ht="15" hidden="false" customHeight="false" outlineLevel="0" collapsed="false">
      <c r="A43" s="8" t="s">
        <v>135</v>
      </c>
      <c r="B43" s="9" t="s">
        <v>136</v>
      </c>
      <c r="C43" s="10" t="s">
        <v>87</v>
      </c>
      <c r="D43" s="8" t="n">
        <v>0.1</v>
      </c>
      <c r="E43" s="11" t="n">
        <v>117.01</v>
      </c>
      <c r="F43" s="11" t="n">
        <v>96.91</v>
      </c>
      <c r="G43" s="11" t="n">
        <v>95.18</v>
      </c>
      <c r="H43" s="11" t="n">
        <v>101.6</v>
      </c>
      <c r="I43" s="11" t="n">
        <v>81.67</v>
      </c>
      <c r="J43" s="11" t="n">
        <v>57.13</v>
      </c>
      <c r="K43" s="11" t="n">
        <v>93.84</v>
      </c>
      <c r="L43" s="11" t="n">
        <v>95.04</v>
      </c>
      <c r="M43" s="11" t="n">
        <v>109.9</v>
      </c>
      <c r="N43" s="11" t="n">
        <v>89.67</v>
      </c>
      <c r="O43" s="11" t="n">
        <v>67.12</v>
      </c>
      <c r="P43" s="11" t="n">
        <v>76.94</v>
      </c>
      <c r="Q43" s="11" t="n">
        <v>116.66</v>
      </c>
      <c r="R43" s="11" t="n">
        <v>112.95</v>
      </c>
      <c r="S43" s="11" t="n">
        <v>98.14</v>
      </c>
      <c r="T43" s="11" t="n">
        <v>113.75</v>
      </c>
      <c r="U43" s="11" t="n">
        <v>79.39</v>
      </c>
      <c r="V43" s="11" t="n">
        <v>77.54</v>
      </c>
      <c r="W43" s="11" t="n">
        <v>98.45</v>
      </c>
      <c r="X43" s="11" t="n">
        <v>140.64</v>
      </c>
      <c r="Y43" s="11" t="n">
        <v>115.14</v>
      </c>
      <c r="Z43" s="11" t="n">
        <v>115.33</v>
      </c>
      <c r="AA43" s="11" t="n">
        <v>125.7</v>
      </c>
      <c r="AB43" s="11" t="n">
        <v>144.33</v>
      </c>
      <c r="AC43" s="11" t="n">
        <v>128.76</v>
      </c>
      <c r="AD43" s="11" t="n">
        <v>105.04</v>
      </c>
      <c r="AE43" s="11" t="n">
        <v>99.82</v>
      </c>
      <c r="AF43" s="11" t="n">
        <v>110.34</v>
      </c>
      <c r="AG43" s="11" t="n">
        <v>95.98</v>
      </c>
      <c r="AH43" s="11" t="n">
        <v>86.31</v>
      </c>
      <c r="AI43" s="11" t="n">
        <v>100.35</v>
      </c>
      <c r="AJ43" s="11" t="n">
        <v>105.51</v>
      </c>
      <c r="AK43" s="11" t="n">
        <v>87.41</v>
      </c>
      <c r="AL43" s="11" t="n">
        <v>113.75</v>
      </c>
      <c r="AM43" s="11" t="n">
        <v>176.2</v>
      </c>
      <c r="AN43" s="11" t="n">
        <v>100.29</v>
      </c>
      <c r="AO43" s="11" t="n">
        <v>123.54</v>
      </c>
      <c r="AP43" s="11" t="n">
        <v>107.8</v>
      </c>
      <c r="AQ43" s="11" t="n">
        <v>114.17</v>
      </c>
      <c r="AR43" s="11" t="n">
        <v>97.94</v>
      </c>
      <c r="AS43" s="11" t="n">
        <v>52.91</v>
      </c>
      <c r="AT43" s="11" t="n">
        <v>101.72</v>
      </c>
      <c r="AU43" s="11" t="n">
        <v>99.16</v>
      </c>
      <c r="AV43" s="11" t="n">
        <v>82.65</v>
      </c>
      <c r="AW43" s="11" t="n">
        <v>99.41</v>
      </c>
      <c r="AX43" s="11" t="n">
        <v>106.3</v>
      </c>
      <c r="AY43" s="11" t="n">
        <v>72.36</v>
      </c>
      <c r="AZ43" s="11" t="n">
        <v>117.14</v>
      </c>
      <c r="BA43" s="11" t="n">
        <v>97.47</v>
      </c>
      <c r="BB43" s="11" t="n">
        <v>107.99</v>
      </c>
      <c r="BC43" s="11" t="n">
        <v>89.79</v>
      </c>
      <c r="BD43" s="11" t="n">
        <v>95.66</v>
      </c>
      <c r="BE43" s="11" t="n">
        <v>99.1</v>
      </c>
      <c r="BF43" s="11" t="n">
        <v>91.09</v>
      </c>
      <c r="BG43" s="11" t="n">
        <v>119.86</v>
      </c>
      <c r="BH43" s="11" t="n">
        <v>125.28</v>
      </c>
      <c r="BI43" s="11" t="n">
        <v>129.63</v>
      </c>
      <c r="BJ43" s="11" t="n">
        <v>129.3</v>
      </c>
      <c r="BK43" s="11" t="n">
        <v>87.27</v>
      </c>
      <c r="BL43" s="11" t="n">
        <v>75.44</v>
      </c>
      <c r="BM43" s="11" t="n">
        <v>107.19</v>
      </c>
      <c r="BN43" s="11" t="n">
        <v>97.94</v>
      </c>
      <c r="BO43" s="11" t="n">
        <v>85.56</v>
      </c>
      <c r="BP43" s="11" t="n">
        <v>73.65</v>
      </c>
      <c r="BQ43" s="11" t="n">
        <v>75.02</v>
      </c>
    </row>
    <row r="44" customFormat="false" ht="15" hidden="false" customHeight="false" outlineLevel="0" collapsed="false">
      <c r="A44" s="8" t="s">
        <v>135</v>
      </c>
      <c r="B44" s="9" t="s">
        <v>137</v>
      </c>
      <c r="C44" s="10" t="s">
        <v>87</v>
      </c>
      <c r="D44" s="8" t="n">
        <v>0.5</v>
      </c>
      <c r="E44" s="11" t="n">
        <v>119.5</v>
      </c>
      <c r="F44" s="11" t="n">
        <v>120.8</v>
      </c>
      <c r="G44" s="11" t="n">
        <v>134.98</v>
      </c>
      <c r="H44" s="11" t="n">
        <v>133.62</v>
      </c>
      <c r="I44" s="11" t="n">
        <v>132.88</v>
      </c>
      <c r="J44" s="11" t="n">
        <v>147.56</v>
      </c>
      <c r="K44" s="11" t="n">
        <v>143.37</v>
      </c>
      <c r="L44" s="11" t="n">
        <v>134.16</v>
      </c>
      <c r="M44" s="11" t="n">
        <v>137.22</v>
      </c>
      <c r="N44" s="11" t="n">
        <v>143.14</v>
      </c>
      <c r="O44" s="11" t="n">
        <v>145.59</v>
      </c>
      <c r="P44" s="11" t="n">
        <v>143.8</v>
      </c>
      <c r="Q44" s="11" t="n">
        <v>136.15</v>
      </c>
      <c r="R44" s="11" t="n">
        <v>123.32</v>
      </c>
      <c r="S44" s="11" t="n">
        <v>120</v>
      </c>
      <c r="T44" s="11" t="n">
        <v>119.97</v>
      </c>
      <c r="U44" s="11" t="n">
        <v>118.06</v>
      </c>
      <c r="V44" s="11" t="n">
        <v>122.77</v>
      </c>
      <c r="W44" s="11" t="n">
        <v>126.82</v>
      </c>
      <c r="X44" s="11" t="n">
        <v>130.69</v>
      </c>
      <c r="Y44" s="11" t="n">
        <v>131.19</v>
      </c>
      <c r="Z44" s="11" t="n">
        <v>132.27</v>
      </c>
      <c r="AA44" s="11" t="n">
        <v>138.46</v>
      </c>
      <c r="AB44" s="11" t="n">
        <v>139.18</v>
      </c>
      <c r="AC44" s="11" t="n">
        <v>136.86</v>
      </c>
      <c r="AD44" s="11" t="n">
        <v>129.79</v>
      </c>
      <c r="AE44" s="11" t="n">
        <v>127.68</v>
      </c>
      <c r="AF44" s="11" t="n">
        <v>132.89</v>
      </c>
      <c r="AG44" s="11" t="n">
        <v>131.51</v>
      </c>
      <c r="AH44" s="11" t="n">
        <v>137.44</v>
      </c>
      <c r="AI44" s="11" t="n">
        <v>132.58</v>
      </c>
      <c r="AJ44" s="11" t="n">
        <v>136.62</v>
      </c>
      <c r="AK44" s="11" t="n">
        <v>138.14</v>
      </c>
      <c r="AL44" s="11" t="n">
        <v>144.71</v>
      </c>
      <c r="AM44" s="11" t="n">
        <v>149.27</v>
      </c>
      <c r="AN44" s="11" t="n">
        <v>147.38</v>
      </c>
      <c r="AO44" s="11" t="n">
        <v>140.19</v>
      </c>
      <c r="AP44" s="11" t="n">
        <v>139.26</v>
      </c>
      <c r="AQ44" s="11" t="n">
        <v>133.45</v>
      </c>
      <c r="AR44" s="11" t="n">
        <v>128.24</v>
      </c>
      <c r="AS44" s="11" t="n">
        <v>127.34</v>
      </c>
      <c r="AT44" s="11" t="n">
        <v>141.88</v>
      </c>
      <c r="AU44" s="11" t="n">
        <v>146.92</v>
      </c>
      <c r="AV44" s="11" t="n">
        <v>144.65</v>
      </c>
      <c r="AW44" s="11" t="n">
        <v>152.26</v>
      </c>
      <c r="AX44" s="11" t="n">
        <v>163.25</v>
      </c>
      <c r="AY44" s="11" t="n">
        <v>168.69</v>
      </c>
      <c r="AZ44" s="11" t="n">
        <v>162.07</v>
      </c>
      <c r="BA44" s="11" t="n">
        <v>154.32</v>
      </c>
      <c r="BB44" s="11" t="n">
        <v>145.3</v>
      </c>
      <c r="BC44" s="11" t="n">
        <v>134.03</v>
      </c>
      <c r="BD44" s="11" t="n">
        <v>132.02</v>
      </c>
      <c r="BE44" s="11" t="n">
        <v>131.37</v>
      </c>
      <c r="BF44" s="11" t="n">
        <v>141.65</v>
      </c>
      <c r="BG44" s="11" t="n">
        <v>154.76</v>
      </c>
      <c r="BH44" s="11" t="n">
        <v>163.06</v>
      </c>
      <c r="BI44" s="11" t="n">
        <v>172.23</v>
      </c>
      <c r="BJ44" s="11" t="n">
        <v>169.2</v>
      </c>
      <c r="BK44" s="11" t="n">
        <v>156.01</v>
      </c>
      <c r="BL44" s="11" t="n">
        <v>156.71</v>
      </c>
      <c r="BM44" s="11" t="n">
        <v>154.61</v>
      </c>
      <c r="BN44" s="11" t="n">
        <v>156.8</v>
      </c>
      <c r="BO44" s="11" t="n">
        <v>152.71</v>
      </c>
      <c r="BP44" s="11" t="n">
        <v>150.61</v>
      </c>
      <c r="BQ44" s="11" t="n">
        <v>151.52</v>
      </c>
    </row>
    <row r="45" customFormat="false" ht="15" hidden="false" customHeight="false" outlineLevel="0" collapsed="false">
      <c r="A45" s="8" t="s">
        <v>135</v>
      </c>
      <c r="B45" s="9" t="s">
        <v>138</v>
      </c>
      <c r="C45" s="10" t="s">
        <v>87</v>
      </c>
      <c r="D45" s="8" t="n">
        <v>0.1</v>
      </c>
      <c r="E45" s="11" t="n">
        <v>131.38</v>
      </c>
      <c r="F45" s="11" t="n">
        <v>78.81</v>
      </c>
      <c r="G45" s="11" t="n">
        <v>101.22</v>
      </c>
      <c r="H45" s="11" t="n">
        <v>101.22</v>
      </c>
      <c r="I45" s="11" t="n">
        <v>101.22</v>
      </c>
      <c r="J45" s="11" t="n">
        <v>101.22</v>
      </c>
      <c r="K45" s="11" t="n">
        <v>101.22</v>
      </c>
      <c r="L45" s="11" t="n">
        <v>93.4</v>
      </c>
      <c r="M45" s="11" t="n">
        <v>91.62</v>
      </c>
      <c r="N45" s="11" t="n">
        <v>57.15</v>
      </c>
      <c r="O45" s="11" t="n">
        <v>59.03</v>
      </c>
      <c r="P45" s="11" t="n">
        <v>65.77</v>
      </c>
      <c r="Q45" s="11" t="n">
        <v>116.91</v>
      </c>
      <c r="R45" s="11" t="n">
        <v>121.52</v>
      </c>
      <c r="S45" s="11" t="n">
        <v>60.89</v>
      </c>
      <c r="T45" s="11" t="n">
        <v>48.33</v>
      </c>
      <c r="U45" s="11" t="n">
        <v>28.36</v>
      </c>
      <c r="V45" s="11" t="n">
        <v>28.36</v>
      </c>
      <c r="W45" s="11" t="n">
        <v>28.36</v>
      </c>
      <c r="X45" s="11" t="n">
        <v>107.3</v>
      </c>
      <c r="Y45" s="11" t="n">
        <v>123.3</v>
      </c>
      <c r="Z45" s="11" t="n">
        <v>117.06</v>
      </c>
      <c r="AA45" s="11" t="n">
        <v>95.79</v>
      </c>
      <c r="AB45" s="11" t="n">
        <v>90.7</v>
      </c>
      <c r="AC45" s="11" t="n">
        <v>74.95</v>
      </c>
      <c r="AD45" s="11" t="n">
        <v>163.6</v>
      </c>
      <c r="AE45" s="11" t="n">
        <v>163.6</v>
      </c>
      <c r="AF45" s="11" t="n">
        <v>163.6</v>
      </c>
      <c r="AG45" s="11" t="n">
        <v>163.6</v>
      </c>
      <c r="AH45" s="11" t="n">
        <v>163.6</v>
      </c>
      <c r="AI45" s="11" t="n">
        <v>163.6</v>
      </c>
      <c r="AJ45" s="11" t="n">
        <v>163.6</v>
      </c>
      <c r="AK45" s="11" t="n">
        <v>188.96</v>
      </c>
      <c r="AL45" s="11" t="n">
        <v>186.18</v>
      </c>
      <c r="AM45" s="11" t="n">
        <v>135.22</v>
      </c>
      <c r="AN45" s="11" t="n">
        <v>91.9</v>
      </c>
      <c r="AO45" s="11" t="n">
        <v>98.44</v>
      </c>
      <c r="AP45" s="11" t="n">
        <v>47.28</v>
      </c>
      <c r="AQ45" s="11" t="n">
        <v>81.96</v>
      </c>
      <c r="AR45" s="11" t="n">
        <v>75.5</v>
      </c>
      <c r="AS45" s="11" t="n">
        <v>78.26</v>
      </c>
      <c r="AT45" s="11" t="n">
        <v>64.84</v>
      </c>
      <c r="AU45" s="11" t="n">
        <v>66.28</v>
      </c>
      <c r="AV45" s="11" t="n">
        <v>28.26</v>
      </c>
      <c r="AW45" s="11" t="n">
        <v>57.22</v>
      </c>
      <c r="AX45" s="11" t="n">
        <v>59.36</v>
      </c>
      <c r="AY45" s="11" t="n">
        <v>58.85</v>
      </c>
      <c r="AZ45" s="11" t="n">
        <v>72.83</v>
      </c>
      <c r="BA45" s="11" t="n">
        <v>89.85</v>
      </c>
      <c r="BB45" s="11" t="n">
        <v>81.88</v>
      </c>
      <c r="BC45" s="11" t="n">
        <v>98.01</v>
      </c>
      <c r="BD45" s="11" t="n">
        <v>94.93</v>
      </c>
      <c r="BE45" s="11" t="n">
        <v>99.79</v>
      </c>
      <c r="BF45" s="11" t="n">
        <v>61.49</v>
      </c>
      <c r="BG45" s="11" t="n">
        <v>61.45</v>
      </c>
      <c r="BH45" s="11" t="n">
        <v>89.24</v>
      </c>
      <c r="BI45" s="11" t="n">
        <v>74.88</v>
      </c>
      <c r="BJ45" s="11" t="n">
        <v>60.13</v>
      </c>
      <c r="BK45" s="11" t="n">
        <v>59.98</v>
      </c>
      <c r="BL45" s="11" t="n">
        <v>70.42</v>
      </c>
      <c r="BM45" s="11" t="n">
        <v>89.41</v>
      </c>
      <c r="BN45" s="11" t="n">
        <v>119</v>
      </c>
      <c r="BO45" s="11" t="n">
        <v>91.33</v>
      </c>
      <c r="BP45" s="11" t="n">
        <v>76.47</v>
      </c>
      <c r="BQ45" s="11" t="n">
        <v>83.99</v>
      </c>
    </row>
    <row r="46" customFormat="false" ht="15" hidden="false" customHeight="false" outlineLevel="0" collapsed="false">
      <c r="A46" s="8" t="s">
        <v>135</v>
      </c>
      <c r="B46" s="9" t="s">
        <v>139</v>
      </c>
      <c r="C46" s="10" t="s">
        <v>87</v>
      </c>
      <c r="D46" s="8" t="n">
        <v>0.3</v>
      </c>
      <c r="E46" s="11" t="n">
        <v>102.02</v>
      </c>
      <c r="F46" s="11" t="n">
        <v>102.43</v>
      </c>
      <c r="G46" s="11" t="n">
        <v>103.53</v>
      </c>
      <c r="H46" s="11" t="n">
        <v>101.44</v>
      </c>
      <c r="I46" s="11" t="n">
        <v>101.47</v>
      </c>
      <c r="J46" s="11" t="n">
        <v>100.43</v>
      </c>
      <c r="K46" s="11" t="n">
        <v>90.96</v>
      </c>
      <c r="L46" s="11" t="n">
        <v>89.62</v>
      </c>
      <c r="M46" s="11" t="n">
        <v>91.7</v>
      </c>
      <c r="N46" s="11" t="n">
        <v>89.11</v>
      </c>
      <c r="O46" s="11" t="n">
        <v>80.94</v>
      </c>
      <c r="P46" s="11" t="n">
        <v>80.16</v>
      </c>
      <c r="Q46" s="11" t="n">
        <v>76.62</v>
      </c>
      <c r="R46" s="11" t="n">
        <v>80.5</v>
      </c>
      <c r="S46" s="11" t="n">
        <v>79.26</v>
      </c>
      <c r="T46" s="11" t="n">
        <v>87.81</v>
      </c>
      <c r="U46" s="11" t="n">
        <v>86.87</v>
      </c>
      <c r="V46" s="11" t="n">
        <v>97.14</v>
      </c>
      <c r="W46" s="11" t="n">
        <v>97.56</v>
      </c>
      <c r="X46" s="11" t="n">
        <v>67.12</v>
      </c>
      <c r="Y46" s="11" t="n">
        <v>69.41</v>
      </c>
      <c r="Z46" s="11" t="n">
        <v>60.22</v>
      </c>
      <c r="AA46" s="11" t="n">
        <v>57.9</v>
      </c>
      <c r="AB46" s="11" t="n">
        <v>62.4</v>
      </c>
      <c r="AC46" s="11" t="n">
        <v>76.16</v>
      </c>
      <c r="AD46" s="11" t="n">
        <v>77.26</v>
      </c>
      <c r="AE46" s="11" t="n">
        <v>71.48</v>
      </c>
      <c r="AF46" s="11" t="n">
        <v>65.65</v>
      </c>
      <c r="AG46" s="11" t="n">
        <v>70.65</v>
      </c>
      <c r="AH46" s="11" t="n">
        <v>73.76</v>
      </c>
      <c r="AI46" s="11" t="n">
        <v>73.76</v>
      </c>
      <c r="AJ46" s="11" t="n">
        <v>75.77</v>
      </c>
      <c r="AK46" s="11" t="n">
        <v>70.67</v>
      </c>
      <c r="AL46" s="11" t="n">
        <v>69.73</v>
      </c>
      <c r="AM46" s="11" t="n">
        <v>67.23</v>
      </c>
      <c r="AN46" s="11" t="n">
        <v>68.29</v>
      </c>
      <c r="AO46" s="11" t="n">
        <v>66.71</v>
      </c>
      <c r="AP46" s="11" t="n">
        <v>67.44</v>
      </c>
      <c r="AQ46" s="11" t="n">
        <v>71.12</v>
      </c>
      <c r="AR46" s="11" t="n">
        <v>79.3</v>
      </c>
      <c r="AS46" s="11" t="n">
        <v>88.42</v>
      </c>
      <c r="AT46" s="11" t="n">
        <v>88.03</v>
      </c>
      <c r="AU46" s="11" t="n">
        <v>86.68</v>
      </c>
      <c r="AV46" s="11" t="n">
        <v>86.68</v>
      </c>
      <c r="AW46" s="11" t="n">
        <v>99.97</v>
      </c>
      <c r="AX46" s="11" t="n">
        <v>92.33</v>
      </c>
      <c r="AY46" s="11" t="n">
        <v>92.43</v>
      </c>
      <c r="AZ46" s="11" t="n">
        <v>97.75</v>
      </c>
      <c r="BA46" s="11" t="n">
        <v>107.98</v>
      </c>
      <c r="BB46" s="11" t="n">
        <v>106.92</v>
      </c>
      <c r="BC46" s="11" t="n">
        <v>112.61</v>
      </c>
      <c r="BD46" s="11" t="n">
        <v>115.57</v>
      </c>
      <c r="BE46" s="11" t="n">
        <v>115.57</v>
      </c>
      <c r="BF46" s="11" t="n">
        <v>115.57</v>
      </c>
      <c r="BG46" s="11" t="n">
        <v>115.57</v>
      </c>
      <c r="BH46" s="11" t="n">
        <v>141.42</v>
      </c>
      <c r="BI46" s="11" t="n">
        <v>136.93</v>
      </c>
      <c r="BJ46" s="11" t="n">
        <v>145.66</v>
      </c>
      <c r="BK46" s="11" t="n">
        <v>136.74</v>
      </c>
      <c r="BL46" s="11" t="n">
        <v>134.02</v>
      </c>
      <c r="BM46" s="11" t="n">
        <v>134.4</v>
      </c>
      <c r="BN46" s="11" t="n">
        <v>142.58</v>
      </c>
      <c r="BO46" s="11" t="n">
        <v>144.41</v>
      </c>
      <c r="BP46" s="11" t="n">
        <v>148.56</v>
      </c>
      <c r="BQ46" s="11" t="n">
        <v>141.54</v>
      </c>
    </row>
    <row r="47" customFormat="false" ht="15" hidden="false" customHeight="false" outlineLevel="0" collapsed="false">
      <c r="A47" s="8" t="s">
        <v>135</v>
      </c>
      <c r="B47" s="9" t="s">
        <v>140</v>
      </c>
      <c r="C47" s="10" t="s">
        <v>87</v>
      </c>
      <c r="D47" s="8" t="n">
        <v>0.1</v>
      </c>
      <c r="E47" s="11" t="n">
        <v>103.67</v>
      </c>
      <c r="F47" s="11" t="n">
        <v>112.62</v>
      </c>
      <c r="G47" s="11" t="n">
        <v>114.23</v>
      </c>
      <c r="H47" s="11" t="n">
        <v>110.26</v>
      </c>
      <c r="I47" s="11" t="n">
        <v>105.26</v>
      </c>
      <c r="J47" s="11" t="n">
        <v>105.7</v>
      </c>
      <c r="K47" s="11" t="n">
        <v>99.93</v>
      </c>
      <c r="L47" s="11" t="n">
        <v>103.34</v>
      </c>
      <c r="M47" s="11" t="n">
        <v>109.65</v>
      </c>
      <c r="N47" s="11" t="n">
        <v>96.33</v>
      </c>
      <c r="O47" s="11" t="n">
        <v>101.69</v>
      </c>
      <c r="P47" s="11" t="n">
        <v>108.88</v>
      </c>
      <c r="Q47" s="11" t="n">
        <v>106.69</v>
      </c>
      <c r="R47" s="11" t="n">
        <v>106.4</v>
      </c>
      <c r="S47" s="11" t="n">
        <v>109.87</v>
      </c>
      <c r="T47" s="11" t="n">
        <v>112.69</v>
      </c>
      <c r="U47" s="11" t="n">
        <v>111.95</v>
      </c>
      <c r="V47" s="11" t="n">
        <v>105.87</v>
      </c>
      <c r="W47" s="11" t="n">
        <v>103.79</v>
      </c>
      <c r="X47" s="11" t="n">
        <v>101.3</v>
      </c>
      <c r="Y47" s="11" t="n">
        <v>110.56</v>
      </c>
      <c r="Z47" s="11" t="n">
        <v>111.63</v>
      </c>
      <c r="AA47" s="11" t="n">
        <v>127.14</v>
      </c>
      <c r="AB47" s="11" t="n">
        <v>119.31</v>
      </c>
      <c r="AC47" s="11" t="n">
        <v>130.8</v>
      </c>
      <c r="AD47" s="11" t="n">
        <v>134.67</v>
      </c>
      <c r="AE47" s="11" t="n">
        <v>126.75</v>
      </c>
      <c r="AF47" s="11" t="n">
        <v>135.92</v>
      </c>
      <c r="AG47" s="11" t="n">
        <v>128.47</v>
      </c>
      <c r="AH47" s="11" t="n">
        <v>116.89</v>
      </c>
      <c r="AI47" s="11" t="n">
        <v>121.64</v>
      </c>
      <c r="AJ47" s="11" t="n">
        <v>118.49</v>
      </c>
      <c r="AK47" s="11" t="n">
        <v>118.08</v>
      </c>
      <c r="AL47" s="11" t="n">
        <v>114.06</v>
      </c>
      <c r="AM47" s="11" t="n">
        <v>122.4</v>
      </c>
      <c r="AN47" s="11" t="n">
        <v>141.18</v>
      </c>
      <c r="AO47" s="11" t="n">
        <v>142.03</v>
      </c>
      <c r="AP47" s="11" t="n">
        <v>139.44</v>
      </c>
      <c r="AQ47" s="11" t="n">
        <v>128.04</v>
      </c>
      <c r="AR47" s="11" t="n">
        <v>74.85</v>
      </c>
      <c r="AS47" s="11" t="n">
        <v>124.76</v>
      </c>
      <c r="AT47" s="11" t="n">
        <v>75.28</v>
      </c>
      <c r="AU47" s="11" t="n">
        <v>74.06</v>
      </c>
      <c r="AV47" s="11" t="n">
        <v>81.38</v>
      </c>
      <c r="AW47" s="11" t="n">
        <v>84.31</v>
      </c>
      <c r="AX47" s="11" t="n">
        <v>97.41</v>
      </c>
      <c r="AY47" s="11" t="n">
        <v>115.25</v>
      </c>
      <c r="AZ47" s="11" t="n">
        <v>117</v>
      </c>
      <c r="BA47" s="11" t="n">
        <v>117.83</v>
      </c>
      <c r="BB47" s="11" t="n">
        <v>128.33</v>
      </c>
      <c r="BC47" s="11" t="n">
        <v>115.92</v>
      </c>
      <c r="BD47" s="11" t="n">
        <v>107.04</v>
      </c>
      <c r="BE47" s="11" t="n">
        <v>110.92</v>
      </c>
      <c r="BF47" s="11" t="n">
        <v>80.26</v>
      </c>
      <c r="BG47" s="11" t="n">
        <v>100.21</v>
      </c>
      <c r="BH47" s="11" t="n">
        <v>105.9</v>
      </c>
      <c r="BI47" s="11" t="n">
        <v>104.83</v>
      </c>
      <c r="BJ47" s="11" t="n">
        <v>113.54</v>
      </c>
      <c r="BK47" s="11" t="n">
        <v>126.66</v>
      </c>
      <c r="BL47" s="11" t="n">
        <v>121.62</v>
      </c>
      <c r="BM47" s="11" t="n">
        <v>127.34</v>
      </c>
      <c r="BN47" s="11" t="n">
        <v>132.09</v>
      </c>
      <c r="BO47" s="11" t="n">
        <v>120.53</v>
      </c>
      <c r="BP47" s="11" t="n">
        <v>118.17</v>
      </c>
      <c r="BQ47" s="11" t="n">
        <v>115.27</v>
      </c>
    </row>
    <row r="48" customFormat="false" ht="15" hidden="false" customHeight="false" outlineLevel="0" collapsed="false">
      <c r="A48" s="8" t="s">
        <v>135</v>
      </c>
      <c r="B48" s="9" t="s">
        <v>141</v>
      </c>
      <c r="C48" s="10" t="s">
        <v>87</v>
      </c>
      <c r="D48" s="8" t="n">
        <v>0.1</v>
      </c>
      <c r="E48" s="11" t="n">
        <v>132.34</v>
      </c>
      <c r="F48" s="11" t="n">
        <v>158.12</v>
      </c>
      <c r="G48" s="11" t="n">
        <v>130.24</v>
      </c>
      <c r="H48" s="11" t="n">
        <v>130.24</v>
      </c>
      <c r="I48" s="11" t="n">
        <v>131.36</v>
      </c>
      <c r="J48" s="11" t="n">
        <v>170.44</v>
      </c>
      <c r="K48" s="11" t="n">
        <v>146.28</v>
      </c>
      <c r="L48" s="11" t="n">
        <v>112.84</v>
      </c>
      <c r="M48" s="11" t="n">
        <v>134.32</v>
      </c>
      <c r="N48" s="11" t="n">
        <v>165.12</v>
      </c>
      <c r="O48" s="11" t="n">
        <v>115</v>
      </c>
      <c r="P48" s="11" t="n">
        <v>118.53</v>
      </c>
      <c r="Q48" s="11" t="n">
        <v>134.71</v>
      </c>
      <c r="R48" s="11" t="n">
        <v>122.17</v>
      </c>
      <c r="S48" s="11" t="n">
        <v>111.6</v>
      </c>
      <c r="T48" s="11" t="n">
        <v>110.63</v>
      </c>
      <c r="U48" s="11" t="n">
        <v>110.63</v>
      </c>
      <c r="V48" s="11" t="n">
        <v>132.47</v>
      </c>
      <c r="W48" s="11" t="n">
        <v>132.47</v>
      </c>
      <c r="X48" s="11" t="n">
        <v>113.41</v>
      </c>
      <c r="Y48" s="11" t="n">
        <v>113.41</v>
      </c>
      <c r="Z48" s="11" t="n">
        <v>114.37</v>
      </c>
      <c r="AA48" s="11" t="n">
        <v>117.1</v>
      </c>
      <c r="AB48" s="11" t="n">
        <v>107.53</v>
      </c>
      <c r="AC48" s="11" t="n">
        <v>107.53</v>
      </c>
      <c r="AD48" s="11" t="n">
        <v>105.98</v>
      </c>
      <c r="AE48" s="11" t="n">
        <v>117.34</v>
      </c>
      <c r="AF48" s="11" t="n">
        <v>132.48</v>
      </c>
      <c r="AG48" s="11" t="n">
        <v>132.48</v>
      </c>
      <c r="AH48" s="11" t="n">
        <v>134.55</v>
      </c>
      <c r="AI48" s="11" t="n">
        <v>134.55</v>
      </c>
      <c r="AJ48" s="11" t="n">
        <v>134.55</v>
      </c>
      <c r="AK48" s="11" t="n">
        <v>118.66</v>
      </c>
      <c r="AL48" s="11" t="n">
        <v>111.65</v>
      </c>
      <c r="AM48" s="11" t="n">
        <v>133.23</v>
      </c>
      <c r="AN48" s="11" t="n">
        <v>133.23</v>
      </c>
      <c r="AO48" s="11" t="n">
        <v>133.23</v>
      </c>
      <c r="AP48" s="11" t="n">
        <v>164.46</v>
      </c>
      <c r="AQ48" s="11" t="n">
        <v>131.28</v>
      </c>
      <c r="AR48" s="11" t="n">
        <v>124.33</v>
      </c>
      <c r="AS48" s="11" t="n">
        <v>126.06</v>
      </c>
      <c r="AT48" s="11" t="n">
        <v>119.47</v>
      </c>
      <c r="AU48" s="11" t="n">
        <v>129.01</v>
      </c>
      <c r="AV48" s="11" t="n">
        <v>134.28</v>
      </c>
      <c r="AW48" s="11" t="n">
        <v>120.12</v>
      </c>
      <c r="AX48" s="11" t="n">
        <v>156.21</v>
      </c>
      <c r="AY48" s="11" t="n">
        <v>161.22</v>
      </c>
      <c r="AZ48" s="11" t="n">
        <v>160.26</v>
      </c>
      <c r="BA48" s="11" t="n">
        <v>153.91</v>
      </c>
      <c r="BB48" s="11" t="n">
        <v>147.95</v>
      </c>
      <c r="BC48" s="11" t="n">
        <v>136.78</v>
      </c>
      <c r="BD48" s="11" t="n">
        <v>136.48</v>
      </c>
      <c r="BE48" s="11" t="n">
        <v>133.02</v>
      </c>
      <c r="BF48" s="11" t="n">
        <v>126.11</v>
      </c>
      <c r="BG48" s="11" t="n">
        <v>120.56</v>
      </c>
      <c r="BH48" s="11" t="n">
        <v>130.23</v>
      </c>
      <c r="BI48" s="11" t="n">
        <v>148.85</v>
      </c>
      <c r="BJ48" s="11" t="n">
        <v>155.07</v>
      </c>
      <c r="BK48" s="11" t="n">
        <v>152.05</v>
      </c>
      <c r="BL48" s="11" t="n">
        <v>145.1</v>
      </c>
      <c r="BM48" s="11" t="n">
        <v>148.16</v>
      </c>
      <c r="BN48" s="11" t="n">
        <v>148.73</v>
      </c>
      <c r="BO48" s="11" t="n">
        <v>147.48</v>
      </c>
      <c r="BP48" s="11" t="n">
        <v>140.3</v>
      </c>
      <c r="BQ48" s="11" t="n">
        <v>139.73</v>
      </c>
    </row>
    <row r="49" customFormat="false" ht="15" hidden="false" customHeight="false" outlineLevel="0" collapsed="false">
      <c r="A49" s="8" t="s">
        <v>135</v>
      </c>
      <c r="B49" s="9" t="s">
        <v>142</v>
      </c>
      <c r="C49" s="10" t="s">
        <v>87</v>
      </c>
      <c r="D49" s="8" t="n">
        <v>0.6</v>
      </c>
      <c r="E49" s="11" t="n">
        <v>93.25</v>
      </c>
      <c r="F49" s="11" t="n">
        <v>91.45</v>
      </c>
      <c r="G49" s="11" t="n">
        <v>100.47</v>
      </c>
      <c r="H49" s="11" t="n">
        <v>90.85</v>
      </c>
      <c r="I49" s="11" t="n">
        <v>102.34</v>
      </c>
      <c r="J49" s="11" t="n">
        <v>102.36</v>
      </c>
      <c r="K49" s="11" t="n">
        <v>99.03</v>
      </c>
      <c r="L49" s="11" t="n">
        <v>98.3</v>
      </c>
      <c r="M49" s="11" t="n">
        <v>93.69</v>
      </c>
      <c r="N49" s="11" t="n">
        <v>92.34</v>
      </c>
      <c r="O49" s="11" t="n">
        <v>102.1</v>
      </c>
      <c r="P49" s="11" t="n">
        <v>94.32</v>
      </c>
      <c r="Q49" s="11" t="n">
        <v>96.02</v>
      </c>
      <c r="R49" s="11" t="n">
        <v>102.15</v>
      </c>
      <c r="S49" s="11" t="n">
        <v>93.97</v>
      </c>
      <c r="T49" s="11" t="n">
        <v>89.57</v>
      </c>
      <c r="U49" s="11" t="n">
        <v>97.96</v>
      </c>
      <c r="V49" s="11" t="n">
        <v>119.45</v>
      </c>
      <c r="W49" s="11" t="n">
        <v>113.93</v>
      </c>
      <c r="X49" s="11" t="n">
        <v>115.86</v>
      </c>
      <c r="Y49" s="11" t="n">
        <v>109.02</v>
      </c>
      <c r="Z49" s="11" t="n">
        <v>107.45</v>
      </c>
      <c r="AA49" s="11" t="n">
        <v>111.35</v>
      </c>
      <c r="AB49" s="11" t="n">
        <v>122.58</v>
      </c>
      <c r="AC49" s="11" t="n">
        <v>124.91</v>
      </c>
      <c r="AD49" s="11" t="n">
        <v>126.8</v>
      </c>
      <c r="AE49" s="11" t="n">
        <v>115.58</v>
      </c>
      <c r="AF49" s="11" t="n">
        <v>110.71</v>
      </c>
      <c r="AG49" s="11" t="n">
        <v>119.03</v>
      </c>
      <c r="AH49" s="11" t="n">
        <v>128.41</v>
      </c>
      <c r="AI49" s="11" t="n">
        <v>107.93</v>
      </c>
      <c r="AJ49" s="11" t="n">
        <v>105.19</v>
      </c>
      <c r="AK49" s="11" t="n">
        <v>99.71</v>
      </c>
      <c r="AL49" s="11" t="n">
        <v>85.13</v>
      </c>
      <c r="AM49" s="11" t="n">
        <v>105.19</v>
      </c>
      <c r="AN49" s="11" t="n">
        <v>119.99</v>
      </c>
      <c r="AO49" s="11" t="n">
        <v>127.56</v>
      </c>
      <c r="AP49" s="11" t="n">
        <v>122.05</v>
      </c>
      <c r="AQ49" s="11" t="n">
        <v>123.77</v>
      </c>
      <c r="AR49" s="11" t="n">
        <v>94.85</v>
      </c>
      <c r="AS49" s="11" t="n">
        <v>92.99</v>
      </c>
      <c r="AT49" s="11" t="n">
        <v>102.9</v>
      </c>
      <c r="AU49" s="11" t="n">
        <v>125.61</v>
      </c>
      <c r="AV49" s="11" t="n">
        <v>99.86</v>
      </c>
      <c r="AW49" s="11" t="n">
        <v>84.46</v>
      </c>
      <c r="AX49" s="11" t="n">
        <v>85.12</v>
      </c>
      <c r="AY49" s="11" t="n">
        <v>103.38</v>
      </c>
      <c r="AZ49" s="11" t="n">
        <v>109.59</v>
      </c>
      <c r="BA49" s="11" t="n">
        <v>109.43</v>
      </c>
      <c r="BB49" s="11" t="n">
        <v>116.84</v>
      </c>
      <c r="BC49" s="11" t="n">
        <v>110.64</v>
      </c>
      <c r="BD49" s="11" t="n">
        <v>104.19</v>
      </c>
      <c r="BE49" s="11" t="n">
        <v>88.21</v>
      </c>
      <c r="BF49" s="11" t="n">
        <v>109.18</v>
      </c>
      <c r="BG49" s="11" t="n">
        <v>121.57</v>
      </c>
      <c r="BH49" s="11" t="n">
        <v>124.15</v>
      </c>
      <c r="BI49" s="11" t="n">
        <v>74.71</v>
      </c>
      <c r="BJ49" s="11" t="n">
        <v>85.98</v>
      </c>
      <c r="BK49" s="11" t="n">
        <v>114.54</v>
      </c>
      <c r="BL49" s="11" t="n">
        <v>129.7</v>
      </c>
      <c r="BM49" s="11" t="n">
        <v>109.12</v>
      </c>
      <c r="BN49" s="11" t="n">
        <v>115.08</v>
      </c>
      <c r="BO49" s="11" t="n">
        <v>114.32</v>
      </c>
      <c r="BP49" s="11" t="n">
        <v>89.87</v>
      </c>
      <c r="BQ49" s="11" t="n">
        <v>126.34</v>
      </c>
    </row>
    <row r="50" customFormat="false" ht="15" hidden="false" customHeight="false" outlineLevel="0" collapsed="false">
      <c r="A50" s="8" t="s">
        <v>135</v>
      </c>
      <c r="B50" s="9" t="s">
        <v>143</v>
      </c>
      <c r="C50" s="10" t="s">
        <v>87</v>
      </c>
      <c r="D50" s="8" t="n">
        <v>0.2</v>
      </c>
      <c r="E50" s="11" t="n">
        <v>90.98</v>
      </c>
      <c r="F50" s="11" t="n">
        <v>95.47</v>
      </c>
      <c r="G50" s="11" t="n">
        <v>120.36</v>
      </c>
      <c r="H50" s="11" t="n">
        <v>129.05</v>
      </c>
      <c r="I50" s="11" t="n">
        <v>140.49</v>
      </c>
      <c r="J50" s="11" t="n">
        <v>117.9</v>
      </c>
      <c r="K50" s="11" t="n">
        <v>101.89</v>
      </c>
      <c r="L50" s="11" t="n">
        <v>100.57</v>
      </c>
      <c r="M50" s="11" t="n">
        <v>86.04</v>
      </c>
      <c r="N50" s="11" t="n">
        <v>89.08</v>
      </c>
      <c r="O50" s="11" t="n">
        <v>95.1</v>
      </c>
      <c r="P50" s="11" t="n">
        <v>107.15</v>
      </c>
      <c r="Q50" s="11" t="n">
        <v>99.35</v>
      </c>
      <c r="R50" s="11" t="n">
        <v>94.47</v>
      </c>
      <c r="S50" s="11" t="n">
        <v>106.53</v>
      </c>
      <c r="T50" s="11" t="n">
        <v>129.96</v>
      </c>
      <c r="U50" s="11" t="n">
        <v>136.82</v>
      </c>
      <c r="V50" s="11" t="n">
        <v>121.53</v>
      </c>
      <c r="W50" s="11" t="n">
        <v>107.66</v>
      </c>
      <c r="X50" s="11" t="n">
        <v>105.6</v>
      </c>
      <c r="Y50" s="11" t="n">
        <v>109.81</v>
      </c>
      <c r="Z50" s="11" t="n">
        <v>107.13</v>
      </c>
      <c r="AA50" s="11" t="n">
        <v>115.53</v>
      </c>
      <c r="AB50" s="11" t="n">
        <v>131.05</v>
      </c>
      <c r="AC50" s="11" t="n">
        <v>138.69</v>
      </c>
      <c r="AD50" s="11" t="n">
        <v>147.97</v>
      </c>
      <c r="AE50" s="11" t="n">
        <v>157.35</v>
      </c>
      <c r="AF50" s="11" t="n">
        <v>178.7</v>
      </c>
      <c r="AG50" s="11" t="n">
        <v>165.45</v>
      </c>
      <c r="AH50" s="11" t="n">
        <v>135.51</v>
      </c>
      <c r="AI50" s="11" t="n">
        <v>126.45</v>
      </c>
      <c r="AJ50" s="11" t="n">
        <v>121.39</v>
      </c>
      <c r="AK50" s="11" t="n">
        <v>125.51</v>
      </c>
      <c r="AL50" s="11" t="n">
        <v>126.33</v>
      </c>
      <c r="AM50" s="11" t="n">
        <v>144.95</v>
      </c>
      <c r="AN50" s="11" t="n">
        <v>158.37</v>
      </c>
      <c r="AO50" s="11" t="n">
        <v>151.29</v>
      </c>
      <c r="AP50" s="11" t="n">
        <v>156.44</v>
      </c>
      <c r="AQ50" s="11" t="n">
        <v>187.7</v>
      </c>
      <c r="AR50" s="11" t="n">
        <v>183</v>
      </c>
      <c r="AS50" s="11" t="n">
        <v>187.38</v>
      </c>
      <c r="AT50" s="11" t="n">
        <v>169.04</v>
      </c>
      <c r="AU50" s="11" t="n">
        <v>164.29</v>
      </c>
      <c r="AV50" s="11" t="n">
        <v>153.67</v>
      </c>
      <c r="AW50" s="11" t="n">
        <v>137.09</v>
      </c>
      <c r="AX50" s="11" t="n">
        <v>137.67</v>
      </c>
      <c r="AY50" s="11" t="n">
        <v>137.43</v>
      </c>
      <c r="AZ50" s="11" t="n">
        <v>164.4</v>
      </c>
      <c r="BA50" s="11" t="n">
        <v>187.32</v>
      </c>
      <c r="BB50" s="11" t="n">
        <v>166.52</v>
      </c>
      <c r="BC50" s="11" t="n">
        <v>162.64</v>
      </c>
      <c r="BD50" s="11" t="n">
        <v>188.04</v>
      </c>
      <c r="BE50" s="11" t="n">
        <v>194.86</v>
      </c>
      <c r="BF50" s="11" t="n">
        <v>196.11</v>
      </c>
      <c r="BG50" s="11" t="n">
        <v>158.45</v>
      </c>
      <c r="BH50" s="11" t="n">
        <v>137.98</v>
      </c>
      <c r="BI50" s="11" t="n">
        <v>140.58</v>
      </c>
      <c r="BJ50" s="11" t="n">
        <v>152.88</v>
      </c>
      <c r="BK50" s="11" t="n">
        <v>165.14</v>
      </c>
      <c r="BL50" s="11" t="n">
        <v>156.38</v>
      </c>
      <c r="BM50" s="11" t="n">
        <v>157.52</v>
      </c>
      <c r="BN50" s="11" t="n">
        <v>167.95</v>
      </c>
      <c r="BO50" s="11" t="n">
        <v>166.84</v>
      </c>
      <c r="BP50" s="11" t="n">
        <v>189.25</v>
      </c>
      <c r="BQ50" s="11" t="n">
        <v>199.71</v>
      </c>
    </row>
    <row r="51" customFormat="false" ht="15" hidden="false" customHeight="false" outlineLevel="0" collapsed="false">
      <c r="A51" s="8" t="s">
        <v>135</v>
      </c>
      <c r="B51" s="9" t="s">
        <v>144</v>
      </c>
      <c r="C51" s="10" t="s">
        <v>87</v>
      </c>
      <c r="D51" s="8" t="n">
        <v>0.1</v>
      </c>
      <c r="E51" s="11" t="n">
        <v>103.87</v>
      </c>
      <c r="F51" s="11" t="n">
        <v>120.09</v>
      </c>
      <c r="G51" s="11" t="n">
        <v>131.26</v>
      </c>
      <c r="H51" s="11" t="n">
        <v>126.2</v>
      </c>
      <c r="I51" s="11" t="n">
        <v>124.47</v>
      </c>
      <c r="J51" s="11" t="n">
        <v>117.93</v>
      </c>
      <c r="K51" s="11" t="n">
        <v>107.83</v>
      </c>
      <c r="L51" s="11" t="n">
        <v>68.57</v>
      </c>
      <c r="M51" s="11" t="n">
        <v>74.3</v>
      </c>
      <c r="N51" s="11" t="n">
        <v>69.51</v>
      </c>
      <c r="O51" s="11" t="n">
        <v>72.83</v>
      </c>
      <c r="P51" s="11" t="n">
        <v>82.41</v>
      </c>
      <c r="Q51" s="11" t="n">
        <v>98.37</v>
      </c>
      <c r="R51" s="11" t="n">
        <v>109.28</v>
      </c>
      <c r="S51" s="11" t="n">
        <v>124</v>
      </c>
      <c r="T51" s="11" t="n">
        <v>112.44</v>
      </c>
      <c r="U51" s="11" t="n">
        <v>100.38</v>
      </c>
      <c r="V51" s="11" t="n">
        <v>92.16</v>
      </c>
      <c r="W51" s="11" t="n">
        <v>84.46</v>
      </c>
      <c r="X51" s="11" t="n">
        <v>54.78</v>
      </c>
      <c r="Y51" s="11" t="n">
        <v>59.06</v>
      </c>
      <c r="Z51" s="11" t="n">
        <v>69.7</v>
      </c>
      <c r="AA51" s="11" t="n">
        <v>81.57</v>
      </c>
      <c r="AB51" s="11" t="n">
        <v>92.43</v>
      </c>
      <c r="AC51" s="11" t="n">
        <v>106.49</v>
      </c>
      <c r="AD51" s="11" t="n">
        <v>107.83</v>
      </c>
      <c r="AE51" s="11" t="n">
        <v>107.11</v>
      </c>
      <c r="AF51" s="11" t="n">
        <v>107.21</v>
      </c>
      <c r="AG51" s="11" t="n">
        <v>105.49</v>
      </c>
      <c r="AH51" s="11" t="n">
        <v>90.61</v>
      </c>
      <c r="AI51" s="11" t="n">
        <v>87.08</v>
      </c>
      <c r="AJ51" s="11" t="n">
        <v>53.05</v>
      </c>
      <c r="AK51" s="11" t="n">
        <v>51.63</v>
      </c>
      <c r="AL51" s="11" t="n">
        <v>52.74</v>
      </c>
      <c r="AM51" s="11" t="n">
        <v>64.7</v>
      </c>
      <c r="AN51" s="11" t="n">
        <v>71.58</v>
      </c>
      <c r="AO51" s="11" t="n">
        <v>81.14</v>
      </c>
      <c r="AP51" s="11" t="n">
        <v>94.82</v>
      </c>
      <c r="AQ51" s="11" t="n">
        <v>95.24</v>
      </c>
      <c r="AR51" s="11" t="n">
        <v>78.82</v>
      </c>
      <c r="AS51" s="11" t="n">
        <v>69.28</v>
      </c>
      <c r="AT51" s="11" t="n">
        <v>60.5</v>
      </c>
      <c r="AU51" s="11" t="n">
        <v>60.21</v>
      </c>
      <c r="AV51" s="11" t="n">
        <v>43.71</v>
      </c>
      <c r="AW51" s="11" t="n">
        <v>55.67</v>
      </c>
      <c r="AX51" s="11" t="n">
        <v>69.15</v>
      </c>
      <c r="AY51" s="11" t="n">
        <v>68.29</v>
      </c>
      <c r="AZ51" s="11" t="n">
        <v>71.9</v>
      </c>
      <c r="BA51" s="11" t="n">
        <v>88.06</v>
      </c>
      <c r="BB51" s="11" t="n">
        <v>89.26</v>
      </c>
      <c r="BC51" s="11" t="n">
        <v>109.12</v>
      </c>
      <c r="BD51" s="11" t="n">
        <v>103.36</v>
      </c>
      <c r="BE51" s="11" t="n">
        <v>106.31</v>
      </c>
      <c r="BF51" s="11" t="n">
        <v>97.07</v>
      </c>
      <c r="BG51" s="11" t="n">
        <v>87.85</v>
      </c>
      <c r="BH51" s="11" t="n">
        <v>51.8</v>
      </c>
      <c r="BI51" s="11" t="n">
        <v>50.73</v>
      </c>
      <c r="BJ51" s="11" t="n">
        <v>59.45</v>
      </c>
      <c r="BK51" s="11" t="n">
        <v>68.65</v>
      </c>
      <c r="BL51" s="11" t="n">
        <v>75.52</v>
      </c>
      <c r="BM51" s="11" t="n">
        <v>87.19</v>
      </c>
      <c r="BN51" s="11" t="n">
        <v>106.51</v>
      </c>
      <c r="BO51" s="11" t="n">
        <v>109.84</v>
      </c>
      <c r="BP51" s="11" t="n">
        <v>96.67</v>
      </c>
      <c r="BQ51" s="11" t="n">
        <v>100.49</v>
      </c>
    </row>
    <row r="52" customFormat="false" ht="15" hidden="false" customHeight="false" outlineLevel="0" collapsed="false">
      <c r="A52" s="8" t="s">
        <v>135</v>
      </c>
      <c r="B52" s="9" t="s">
        <v>145</v>
      </c>
      <c r="C52" s="10" t="s">
        <v>87</v>
      </c>
      <c r="D52" s="8" t="n">
        <v>0.1</v>
      </c>
      <c r="E52" s="11" t="n">
        <v>87.29</v>
      </c>
      <c r="F52" s="11" t="n">
        <v>92.71</v>
      </c>
      <c r="G52" s="11" t="n">
        <v>83.86</v>
      </c>
      <c r="H52" s="11" t="n">
        <v>83.3</v>
      </c>
      <c r="I52" s="11" t="n">
        <v>101.27</v>
      </c>
      <c r="J52" s="11" t="n">
        <v>96.33</v>
      </c>
      <c r="K52" s="11" t="n">
        <v>90.53</v>
      </c>
      <c r="L52" s="11" t="n">
        <v>74.4</v>
      </c>
      <c r="M52" s="11" t="n">
        <v>83.59</v>
      </c>
      <c r="N52" s="11" t="n">
        <v>92.47</v>
      </c>
      <c r="O52" s="11" t="n">
        <v>97.61</v>
      </c>
      <c r="P52" s="11" t="n">
        <v>96.14</v>
      </c>
      <c r="Q52" s="11" t="n">
        <v>104.72</v>
      </c>
      <c r="R52" s="11" t="n">
        <v>110.12</v>
      </c>
      <c r="S52" s="11" t="n">
        <v>83.56</v>
      </c>
      <c r="T52" s="11" t="n">
        <v>77.61</v>
      </c>
      <c r="U52" s="11" t="n">
        <v>94.23</v>
      </c>
      <c r="V52" s="11" t="n">
        <v>92.53</v>
      </c>
      <c r="W52" s="11" t="n">
        <v>86.8</v>
      </c>
      <c r="X52" s="11" t="n">
        <v>80.54</v>
      </c>
      <c r="Y52" s="11" t="n">
        <v>88.64</v>
      </c>
      <c r="Z52" s="11" t="n">
        <v>90.22</v>
      </c>
      <c r="AA52" s="11" t="n">
        <v>94.15</v>
      </c>
      <c r="AB52" s="11" t="n">
        <v>112.54</v>
      </c>
      <c r="AC52" s="11" t="n">
        <v>99.6</v>
      </c>
      <c r="AD52" s="11" t="n">
        <v>81.61</v>
      </c>
      <c r="AE52" s="11" t="n">
        <v>84.96</v>
      </c>
      <c r="AF52" s="11" t="n">
        <v>87.59</v>
      </c>
      <c r="AG52" s="11" t="n">
        <v>92.53</v>
      </c>
      <c r="AH52" s="11" t="n">
        <v>88.61</v>
      </c>
      <c r="AI52" s="11" t="n">
        <v>95.87</v>
      </c>
      <c r="AJ52" s="11" t="n">
        <v>93.59</v>
      </c>
      <c r="AK52" s="11" t="n">
        <v>98.42</v>
      </c>
      <c r="AL52" s="11" t="n">
        <v>90.53</v>
      </c>
      <c r="AM52" s="11" t="n">
        <v>99.55</v>
      </c>
      <c r="AN52" s="11" t="n">
        <v>111.75</v>
      </c>
      <c r="AO52" s="11" t="n">
        <v>95.75</v>
      </c>
      <c r="AP52" s="11" t="n">
        <v>117.3</v>
      </c>
      <c r="AQ52" s="11" t="n">
        <v>117.83</v>
      </c>
      <c r="AR52" s="11" t="n">
        <v>88.85</v>
      </c>
      <c r="AS52" s="11" t="n">
        <v>104.1</v>
      </c>
      <c r="AT52" s="11" t="n">
        <v>94.98</v>
      </c>
      <c r="AU52" s="11" t="n">
        <v>95.75</v>
      </c>
      <c r="AV52" s="11" t="n">
        <v>92.81</v>
      </c>
      <c r="AW52" s="11" t="n">
        <v>85.81</v>
      </c>
      <c r="AX52" s="11" t="n">
        <v>101.06</v>
      </c>
      <c r="AY52" s="11" t="n">
        <v>105.85</v>
      </c>
      <c r="AZ52" s="11" t="n">
        <v>115.54</v>
      </c>
      <c r="BA52" s="11" t="n">
        <v>112.84</v>
      </c>
      <c r="BB52" s="11" t="n">
        <v>103.12</v>
      </c>
      <c r="BC52" s="11" t="n">
        <v>107.78</v>
      </c>
      <c r="BD52" s="11" t="n">
        <v>101.55</v>
      </c>
      <c r="BE52" s="11" t="n">
        <v>119.11</v>
      </c>
      <c r="BF52" s="11" t="n">
        <v>121.32</v>
      </c>
      <c r="BG52" s="11" t="n">
        <v>94.7</v>
      </c>
      <c r="BH52" s="11" t="n">
        <v>89.73</v>
      </c>
      <c r="BI52" s="11" t="n">
        <v>92.8</v>
      </c>
      <c r="BJ52" s="11" t="n">
        <v>112.5</v>
      </c>
      <c r="BK52" s="11" t="n">
        <v>107</v>
      </c>
      <c r="BL52" s="11" t="n">
        <v>120</v>
      </c>
      <c r="BM52" s="11" t="n">
        <v>135.2</v>
      </c>
      <c r="BN52" s="11" t="n">
        <v>153.6</v>
      </c>
      <c r="BO52" s="11" t="n">
        <v>121.52</v>
      </c>
      <c r="BP52" s="11" t="n">
        <v>126.34</v>
      </c>
      <c r="BQ52" s="11" t="n">
        <v>128.72</v>
      </c>
    </row>
    <row r="53" customFormat="false" ht="15" hidden="false" customHeight="false" outlineLevel="0" collapsed="false">
      <c r="A53" s="8" t="s">
        <v>146</v>
      </c>
      <c r="B53" s="9" t="s">
        <v>147</v>
      </c>
      <c r="C53" s="10" t="s">
        <v>87</v>
      </c>
      <c r="D53" s="8" t="n">
        <v>0.2</v>
      </c>
      <c r="E53" s="11" t="n">
        <v>116.61</v>
      </c>
      <c r="F53" s="11" t="n">
        <v>107.42</v>
      </c>
      <c r="G53" s="11" t="n">
        <v>102.32</v>
      </c>
      <c r="H53" s="11" t="n">
        <v>100.3</v>
      </c>
      <c r="I53" s="11" t="n">
        <v>100.3</v>
      </c>
      <c r="J53" s="11" t="n">
        <v>100.3</v>
      </c>
      <c r="K53" s="11" t="n">
        <v>100.3</v>
      </c>
      <c r="L53" s="11" t="n">
        <v>100.3</v>
      </c>
      <c r="M53" s="11" t="n">
        <v>100.3</v>
      </c>
      <c r="N53" s="11" t="n">
        <v>126.49</v>
      </c>
      <c r="O53" s="11" t="n">
        <v>160.56</v>
      </c>
      <c r="P53" s="11" t="n">
        <v>157.9</v>
      </c>
      <c r="Q53" s="11" t="n">
        <v>157.9</v>
      </c>
      <c r="R53" s="11" t="n">
        <v>117.13</v>
      </c>
      <c r="S53" s="11" t="n">
        <v>106.75</v>
      </c>
      <c r="T53" s="11" t="n">
        <v>99.75</v>
      </c>
      <c r="U53" s="11" t="n">
        <v>99.75</v>
      </c>
      <c r="V53" s="11" t="n">
        <v>99.75</v>
      </c>
      <c r="W53" s="11" t="n">
        <v>99.75</v>
      </c>
      <c r="X53" s="11" t="n">
        <v>99.75</v>
      </c>
      <c r="Y53" s="11" t="n">
        <v>99.75</v>
      </c>
      <c r="Z53" s="11" t="n">
        <v>139.63</v>
      </c>
      <c r="AA53" s="11" t="n">
        <v>150.88</v>
      </c>
      <c r="AB53" s="11" t="n">
        <v>160.06</v>
      </c>
      <c r="AC53" s="11" t="n">
        <v>137.73</v>
      </c>
      <c r="AD53" s="11" t="n">
        <v>129.9</v>
      </c>
      <c r="AE53" s="11" t="n">
        <v>120.37</v>
      </c>
      <c r="AF53" s="11" t="n">
        <v>113.1</v>
      </c>
      <c r="AG53" s="11" t="n">
        <v>113.1</v>
      </c>
      <c r="AH53" s="11" t="n">
        <v>113.1</v>
      </c>
      <c r="AI53" s="11" t="n">
        <v>113.1</v>
      </c>
      <c r="AJ53" s="11" t="n">
        <v>113.1</v>
      </c>
      <c r="AK53" s="11" t="n">
        <v>113.1</v>
      </c>
      <c r="AL53" s="11" t="n">
        <v>120.57</v>
      </c>
      <c r="AM53" s="11" t="n">
        <v>161.45</v>
      </c>
      <c r="AN53" s="11" t="n">
        <v>161.8</v>
      </c>
      <c r="AO53" s="11" t="n">
        <v>129.18</v>
      </c>
      <c r="AP53" s="11" t="n">
        <v>121.58</v>
      </c>
      <c r="AQ53" s="11" t="n">
        <v>115.28</v>
      </c>
      <c r="AR53" s="11" t="n">
        <v>116.98</v>
      </c>
      <c r="AS53" s="11" t="n">
        <v>116.98</v>
      </c>
      <c r="AT53" s="11" t="n">
        <v>116.98</v>
      </c>
      <c r="AU53" s="11" t="n">
        <v>116.98</v>
      </c>
      <c r="AV53" s="11" t="n">
        <v>116.98</v>
      </c>
      <c r="AW53" s="11" t="n">
        <v>116.98</v>
      </c>
      <c r="AX53" s="11" t="n">
        <v>123.52</v>
      </c>
      <c r="AY53" s="11" t="n">
        <v>152.8</v>
      </c>
      <c r="AZ53" s="11" t="n">
        <v>155.98</v>
      </c>
      <c r="BA53" s="11" t="n">
        <v>123.57</v>
      </c>
      <c r="BB53" s="11" t="n">
        <v>119.04</v>
      </c>
      <c r="BC53" s="11" t="n">
        <v>109.62</v>
      </c>
      <c r="BD53" s="11" t="n">
        <v>102.6</v>
      </c>
      <c r="BE53" s="11" t="n">
        <v>102.6</v>
      </c>
      <c r="BF53" s="11" t="n">
        <v>102.6</v>
      </c>
      <c r="BG53" s="11" t="n">
        <v>102.6</v>
      </c>
      <c r="BH53" s="11" t="n">
        <v>102.6</v>
      </c>
      <c r="BI53" s="11" t="n">
        <v>102.6</v>
      </c>
      <c r="BJ53" s="11" t="n">
        <v>114.77</v>
      </c>
      <c r="BK53" s="11" t="n">
        <v>128.48</v>
      </c>
      <c r="BL53" s="11" t="n">
        <v>133.38</v>
      </c>
      <c r="BM53" s="11" t="n">
        <v>118.19</v>
      </c>
      <c r="BN53" s="11" t="n">
        <v>111.96</v>
      </c>
      <c r="BO53" s="11" t="n">
        <v>109.76</v>
      </c>
      <c r="BP53" s="11" t="n">
        <v>110.68</v>
      </c>
      <c r="BQ53" s="11" t="n">
        <v>110.68</v>
      </c>
    </row>
    <row r="54" customFormat="false" ht="15" hidden="false" customHeight="false" outlineLevel="0" collapsed="false">
      <c r="A54" s="8" t="s">
        <v>146</v>
      </c>
      <c r="B54" s="9" t="s">
        <v>148</v>
      </c>
      <c r="C54" s="10" t="s">
        <v>87</v>
      </c>
      <c r="D54" s="8" t="n">
        <v>0.1</v>
      </c>
      <c r="E54" s="11" t="n">
        <v>85.6</v>
      </c>
      <c r="F54" s="11" t="n">
        <v>90.18</v>
      </c>
      <c r="G54" s="11" t="n">
        <v>91.47</v>
      </c>
      <c r="H54" s="11" t="n">
        <v>94.48</v>
      </c>
      <c r="I54" s="11" t="n">
        <v>86.91</v>
      </c>
      <c r="J54" s="11" t="n">
        <v>78.91</v>
      </c>
      <c r="K54" s="11" t="n">
        <v>78.12</v>
      </c>
      <c r="L54" s="11" t="n">
        <v>113.7</v>
      </c>
      <c r="M54" s="11" t="n">
        <v>131.65</v>
      </c>
      <c r="N54" s="11" t="n">
        <v>132.18</v>
      </c>
      <c r="O54" s="11" t="n">
        <v>133.24</v>
      </c>
      <c r="P54" s="11" t="n">
        <v>118.76</v>
      </c>
      <c r="Q54" s="11" t="n">
        <v>130.62</v>
      </c>
      <c r="R54" s="11" t="n">
        <v>120.34</v>
      </c>
      <c r="S54" s="11" t="n">
        <v>114.49</v>
      </c>
      <c r="T54" s="11" t="n">
        <v>142.18</v>
      </c>
      <c r="U54" s="11" t="n">
        <v>104.76</v>
      </c>
      <c r="V54" s="11" t="n">
        <v>99.28</v>
      </c>
      <c r="W54" s="11" t="n">
        <v>99.04</v>
      </c>
      <c r="X54" s="11" t="n">
        <v>120.97</v>
      </c>
      <c r="Y54" s="11" t="n">
        <v>144.82</v>
      </c>
      <c r="Z54" s="11" t="n">
        <v>150.46</v>
      </c>
      <c r="AA54" s="11" t="n">
        <v>110.15</v>
      </c>
      <c r="AB54" s="11" t="n">
        <v>117.16</v>
      </c>
      <c r="AC54" s="11" t="n">
        <v>122.85</v>
      </c>
      <c r="AD54" s="11" t="n">
        <v>97.69</v>
      </c>
      <c r="AE54" s="11" t="n">
        <v>102.41</v>
      </c>
      <c r="AF54" s="11" t="n">
        <v>100.16</v>
      </c>
      <c r="AG54" s="11" t="n">
        <v>93.77</v>
      </c>
      <c r="AH54" s="11" t="n">
        <v>85.35</v>
      </c>
      <c r="AI54" s="11" t="n">
        <v>93.08</v>
      </c>
      <c r="AJ54" s="11" t="n">
        <v>118.84</v>
      </c>
      <c r="AK54" s="11" t="n">
        <v>115.29</v>
      </c>
      <c r="AL54" s="11" t="n">
        <v>146.82</v>
      </c>
      <c r="AM54" s="11" t="n">
        <v>95.51</v>
      </c>
      <c r="AN54" s="11" t="n">
        <v>117.64</v>
      </c>
      <c r="AO54" s="11" t="n">
        <v>139.1</v>
      </c>
      <c r="AP54" s="11" t="n">
        <v>173.72</v>
      </c>
      <c r="AQ54" s="11" t="n">
        <v>128.17</v>
      </c>
      <c r="AR54" s="11" t="n">
        <v>106.72</v>
      </c>
      <c r="AS54" s="11" t="n">
        <v>103.92</v>
      </c>
      <c r="AT54" s="11" t="n">
        <v>103.08</v>
      </c>
      <c r="AU54" s="11" t="n">
        <v>95.89</v>
      </c>
      <c r="AV54" s="11" t="n">
        <v>87.89</v>
      </c>
      <c r="AW54" s="11" t="n">
        <v>100.29</v>
      </c>
      <c r="AX54" s="11" t="n">
        <v>95.04</v>
      </c>
      <c r="AY54" s="11" t="n">
        <v>133.89</v>
      </c>
      <c r="AZ54" s="11" t="n">
        <v>103.3</v>
      </c>
      <c r="BA54" s="11" t="n">
        <v>136.27</v>
      </c>
      <c r="BB54" s="11" t="n">
        <v>140.09</v>
      </c>
      <c r="BC54" s="11" t="n">
        <v>107.86</v>
      </c>
      <c r="BD54" s="11" t="n">
        <v>102.59</v>
      </c>
      <c r="BE54" s="11" t="n">
        <v>97.26</v>
      </c>
      <c r="BF54" s="11" t="n">
        <v>85.36</v>
      </c>
      <c r="BG54" s="11" t="n">
        <v>90.48</v>
      </c>
      <c r="BH54" s="11" t="n">
        <v>108.73</v>
      </c>
      <c r="BI54" s="11" t="n">
        <v>88.85</v>
      </c>
      <c r="BJ54" s="11" t="n">
        <v>125.42</v>
      </c>
      <c r="BK54" s="11" t="n">
        <v>91.17</v>
      </c>
      <c r="BL54" s="11" t="n">
        <v>97.17</v>
      </c>
      <c r="BM54" s="11" t="n">
        <v>94.81</v>
      </c>
      <c r="BN54" s="11" t="n">
        <v>105.02</v>
      </c>
      <c r="BO54" s="11" t="n">
        <v>84.2</v>
      </c>
      <c r="BP54" s="11" t="n">
        <v>85.66</v>
      </c>
      <c r="BQ54" s="11" t="n">
        <v>73.28</v>
      </c>
    </row>
    <row r="55" customFormat="false" ht="15" hidden="false" customHeight="false" outlineLevel="0" collapsed="false">
      <c r="A55" s="8" t="s">
        <v>146</v>
      </c>
      <c r="B55" s="9" t="s">
        <v>149</v>
      </c>
      <c r="C55" s="10" t="s">
        <v>87</v>
      </c>
      <c r="D55" s="8" t="n">
        <v>0.2</v>
      </c>
      <c r="E55" s="11" t="n">
        <v>101.6</v>
      </c>
      <c r="F55" s="11" t="n">
        <v>101.11</v>
      </c>
      <c r="G55" s="11" t="n">
        <v>100.47</v>
      </c>
      <c r="H55" s="11" t="n">
        <v>97.9</v>
      </c>
      <c r="I55" s="11" t="n">
        <v>96.51</v>
      </c>
      <c r="J55" s="11" t="n">
        <v>97.68</v>
      </c>
      <c r="K55" s="11" t="n">
        <v>95.54</v>
      </c>
      <c r="L55" s="11" t="n">
        <v>95.25</v>
      </c>
      <c r="M55" s="11" t="n">
        <v>97.04</v>
      </c>
      <c r="N55" s="11" t="n">
        <v>98</v>
      </c>
      <c r="O55" s="11" t="n">
        <v>98.93</v>
      </c>
      <c r="P55" s="11" t="n">
        <v>99.58</v>
      </c>
      <c r="Q55" s="11" t="n">
        <v>99.27</v>
      </c>
      <c r="R55" s="11" t="n">
        <v>100.54</v>
      </c>
      <c r="S55" s="11" t="n">
        <v>102.09</v>
      </c>
      <c r="T55" s="11" t="n">
        <v>101.84</v>
      </c>
      <c r="U55" s="11" t="n">
        <v>101.01</v>
      </c>
      <c r="V55" s="11" t="n">
        <v>100.75</v>
      </c>
      <c r="W55" s="11" t="n">
        <v>101.88</v>
      </c>
      <c r="X55" s="11" t="n">
        <v>97.23</v>
      </c>
      <c r="Y55" s="11" t="n">
        <v>97.34</v>
      </c>
      <c r="Z55" s="11" t="n">
        <v>98.89</v>
      </c>
      <c r="AA55" s="11" t="n">
        <v>100.71</v>
      </c>
      <c r="AB55" s="11" t="n">
        <v>100.93</v>
      </c>
      <c r="AC55" s="11" t="n">
        <v>101.87</v>
      </c>
      <c r="AD55" s="11" t="n">
        <v>100.25</v>
      </c>
      <c r="AE55" s="11" t="n">
        <v>95.13</v>
      </c>
      <c r="AF55" s="11" t="n">
        <v>91.82</v>
      </c>
      <c r="AG55" s="11" t="n">
        <v>89.65</v>
      </c>
      <c r="AH55" s="11" t="n">
        <v>89.63</v>
      </c>
      <c r="AI55" s="11" t="n">
        <v>83.95</v>
      </c>
      <c r="AJ55" s="11" t="n">
        <v>81.12</v>
      </c>
      <c r="AK55" s="11" t="n">
        <v>84.8</v>
      </c>
      <c r="AL55" s="11" t="n">
        <v>88.08</v>
      </c>
      <c r="AM55" s="11" t="n">
        <v>91.4</v>
      </c>
      <c r="AN55" s="11" t="n">
        <v>91.6</v>
      </c>
      <c r="AO55" s="11" t="n">
        <v>91.85</v>
      </c>
      <c r="AP55" s="11" t="n">
        <v>91.22</v>
      </c>
      <c r="AQ55" s="11" t="n">
        <v>89.8</v>
      </c>
      <c r="AR55" s="11" t="n">
        <v>87.74</v>
      </c>
      <c r="AS55" s="11" t="n">
        <v>85.8</v>
      </c>
      <c r="AT55" s="11" t="n">
        <v>84.93</v>
      </c>
      <c r="AU55" s="11" t="n">
        <v>82.32</v>
      </c>
      <c r="AV55" s="11" t="n">
        <v>80.34</v>
      </c>
      <c r="AW55" s="11" t="n">
        <v>80.54</v>
      </c>
      <c r="AX55" s="11" t="n">
        <v>79.09</v>
      </c>
      <c r="AY55" s="11" t="n">
        <v>77.65</v>
      </c>
      <c r="AZ55" s="11" t="n">
        <v>76.72</v>
      </c>
      <c r="BA55" s="11" t="n">
        <v>75.68</v>
      </c>
      <c r="BB55" s="11" t="n">
        <v>76.18</v>
      </c>
      <c r="BC55" s="11" t="n">
        <v>76.72</v>
      </c>
      <c r="BD55" s="11" t="n">
        <v>72.87</v>
      </c>
      <c r="BE55" s="11" t="n">
        <v>72.68</v>
      </c>
      <c r="BF55" s="11" t="n">
        <v>73.23</v>
      </c>
      <c r="BG55" s="11" t="n">
        <v>72.71</v>
      </c>
      <c r="BH55" s="11" t="n">
        <v>72.91</v>
      </c>
      <c r="BI55" s="11" t="n">
        <v>72.04</v>
      </c>
      <c r="BJ55" s="11" t="n">
        <v>71.53</v>
      </c>
      <c r="BK55" s="11" t="n">
        <v>71.47</v>
      </c>
      <c r="BL55" s="11" t="n">
        <v>72.53</v>
      </c>
      <c r="BM55" s="11" t="n">
        <v>72.71</v>
      </c>
      <c r="BN55" s="11" t="n">
        <v>72.04</v>
      </c>
      <c r="BO55" s="11" t="n">
        <v>70.26</v>
      </c>
      <c r="BP55" s="11" t="n">
        <v>66.87</v>
      </c>
      <c r="BQ55" s="11" t="n">
        <v>65.19</v>
      </c>
    </row>
    <row r="56" customFormat="false" ht="15" hidden="false" customHeight="false" outlineLevel="0" collapsed="false">
      <c r="A56" s="8" t="s">
        <v>146</v>
      </c>
      <c r="B56" s="9" t="s">
        <v>150</v>
      </c>
      <c r="C56" s="10" t="s">
        <v>87</v>
      </c>
      <c r="D56" s="8" t="n">
        <v>0.5</v>
      </c>
      <c r="E56" s="11" t="n">
        <v>96.28</v>
      </c>
      <c r="F56" s="11" t="n">
        <v>99.72</v>
      </c>
      <c r="G56" s="11" t="n">
        <v>101.7</v>
      </c>
      <c r="H56" s="11" t="n">
        <v>100.65</v>
      </c>
      <c r="I56" s="11" t="n">
        <v>96.31</v>
      </c>
      <c r="J56" s="11" t="n">
        <v>94.71</v>
      </c>
      <c r="K56" s="11" t="n">
        <v>88.13</v>
      </c>
      <c r="L56" s="11" t="n">
        <v>72.75</v>
      </c>
      <c r="M56" s="11" t="n">
        <v>75.62</v>
      </c>
      <c r="N56" s="11" t="n">
        <v>70.15</v>
      </c>
      <c r="O56" s="11" t="n">
        <v>84.46</v>
      </c>
      <c r="P56" s="11" t="n">
        <v>100.69</v>
      </c>
      <c r="Q56" s="11" t="n">
        <v>99.58</v>
      </c>
      <c r="R56" s="11" t="n">
        <v>97.2</v>
      </c>
      <c r="S56" s="11" t="n">
        <v>110.17</v>
      </c>
      <c r="T56" s="11" t="n">
        <v>116.24</v>
      </c>
      <c r="U56" s="11" t="n">
        <v>117.94</v>
      </c>
      <c r="V56" s="11" t="n">
        <v>118.16</v>
      </c>
      <c r="W56" s="11" t="n">
        <v>96.44</v>
      </c>
      <c r="X56" s="11" t="n">
        <v>83.54</v>
      </c>
      <c r="Y56" s="11" t="n">
        <v>78.29</v>
      </c>
      <c r="Z56" s="11" t="n">
        <v>89.98</v>
      </c>
      <c r="AA56" s="11" t="n">
        <v>106.68</v>
      </c>
      <c r="AB56" s="11" t="n">
        <v>107.3</v>
      </c>
      <c r="AC56" s="11" t="n">
        <v>108.94</v>
      </c>
      <c r="AD56" s="11" t="n">
        <v>110.35</v>
      </c>
      <c r="AE56" s="11" t="n">
        <v>118.52</v>
      </c>
      <c r="AF56" s="11" t="n">
        <v>127</v>
      </c>
      <c r="AG56" s="11" t="n">
        <v>127</v>
      </c>
      <c r="AH56" s="11" t="n">
        <v>127</v>
      </c>
      <c r="AI56" s="11" t="n">
        <v>106.65</v>
      </c>
      <c r="AJ56" s="11" t="n">
        <v>109.11</v>
      </c>
      <c r="AK56" s="11" t="n">
        <v>106.82</v>
      </c>
      <c r="AL56" s="11" t="n">
        <v>118.26</v>
      </c>
      <c r="AM56" s="11" t="n">
        <v>107.34</v>
      </c>
      <c r="AN56" s="11" t="n">
        <v>153.08</v>
      </c>
      <c r="AO56" s="11" t="n">
        <v>142.4</v>
      </c>
      <c r="AP56" s="11" t="n">
        <v>151.26</v>
      </c>
      <c r="AQ56" s="11" t="n">
        <v>144.32</v>
      </c>
      <c r="AR56" s="11" t="n">
        <v>144.32</v>
      </c>
      <c r="AS56" s="11" t="n">
        <v>144.32</v>
      </c>
      <c r="AT56" s="11" t="n">
        <v>144.32</v>
      </c>
      <c r="AU56" s="11" t="n">
        <v>144.32</v>
      </c>
      <c r="AV56" s="11" t="n">
        <v>144.32</v>
      </c>
      <c r="AW56" s="11" t="n">
        <v>144.32</v>
      </c>
      <c r="AX56" s="11" t="n">
        <v>144.32</v>
      </c>
      <c r="AY56" s="11" t="n">
        <v>144.32</v>
      </c>
      <c r="AZ56" s="11" t="n">
        <v>103.83</v>
      </c>
      <c r="BA56" s="11" t="n">
        <v>111.34</v>
      </c>
      <c r="BB56" s="11" t="n">
        <v>134.16</v>
      </c>
      <c r="BC56" s="11" t="n">
        <v>160.88</v>
      </c>
      <c r="BD56" s="11" t="n">
        <v>160.88</v>
      </c>
      <c r="BE56" s="11" t="n">
        <v>160.88</v>
      </c>
      <c r="BF56" s="11" t="n">
        <v>102.53</v>
      </c>
      <c r="BG56" s="11" t="n">
        <v>103.4</v>
      </c>
      <c r="BH56" s="11" t="n">
        <v>100.36</v>
      </c>
      <c r="BI56" s="11" t="n">
        <v>106.96</v>
      </c>
      <c r="BJ56" s="11" t="n">
        <v>126.79</v>
      </c>
      <c r="BK56" s="11" t="n">
        <v>114.22</v>
      </c>
      <c r="BL56" s="11" t="n">
        <v>121.14</v>
      </c>
      <c r="BM56" s="11" t="n">
        <v>119.9</v>
      </c>
      <c r="BN56" s="11" t="n">
        <v>134.4</v>
      </c>
      <c r="BO56" s="11" t="n">
        <v>139.01</v>
      </c>
      <c r="BP56" s="11" t="n">
        <v>139.01</v>
      </c>
      <c r="BQ56" s="11" t="n">
        <v>139.01</v>
      </c>
    </row>
    <row r="57" customFormat="false" ht="15" hidden="false" customHeight="false" outlineLevel="0" collapsed="false">
      <c r="A57" s="8" t="s">
        <v>146</v>
      </c>
      <c r="B57" s="9" t="s">
        <v>151</v>
      </c>
      <c r="C57" s="10" t="s">
        <v>87</v>
      </c>
      <c r="D57" s="8" t="n">
        <v>0.1</v>
      </c>
      <c r="E57" s="11" t="n">
        <v>116.49</v>
      </c>
      <c r="F57" s="11" t="n">
        <v>120.47</v>
      </c>
      <c r="G57" s="11" t="n">
        <v>120.45</v>
      </c>
      <c r="H57" s="11" t="n">
        <v>120.6</v>
      </c>
      <c r="I57" s="11" t="n">
        <v>120.37</v>
      </c>
      <c r="J57" s="11" t="n">
        <v>119.87</v>
      </c>
      <c r="K57" s="11" t="n">
        <v>119.87</v>
      </c>
      <c r="L57" s="11" t="n">
        <v>120.21</v>
      </c>
      <c r="M57" s="11" t="n">
        <v>119.55</v>
      </c>
      <c r="N57" s="11" t="n">
        <v>119.17</v>
      </c>
      <c r="O57" s="11" t="n">
        <v>119.76</v>
      </c>
      <c r="P57" s="11" t="n">
        <v>121.33</v>
      </c>
      <c r="Q57" s="11" t="n">
        <v>121.68</v>
      </c>
      <c r="R57" s="11" t="n">
        <v>122.64</v>
      </c>
      <c r="S57" s="11" t="n">
        <v>129.73</v>
      </c>
      <c r="T57" s="11" t="n">
        <v>141.35</v>
      </c>
      <c r="U57" s="11" t="n">
        <v>145.97</v>
      </c>
      <c r="V57" s="11" t="n">
        <v>147.96</v>
      </c>
      <c r="W57" s="11" t="n">
        <v>147.13</v>
      </c>
      <c r="X57" s="11" t="n">
        <v>146.29</v>
      </c>
      <c r="Y57" s="11" t="n">
        <v>145.74</v>
      </c>
      <c r="Z57" s="11" t="n">
        <v>144.14</v>
      </c>
      <c r="AA57" s="11" t="n">
        <v>145.85</v>
      </c>
      <c r="AB57" s="11" t="n">
        <v>148.22</v>
      </c>
      <c r="AC57" s="11" t="n">
        <v>147.98</v>
      </c>
      <c r="AD57" s="11" t="n">
        <v>146.96</v>
      </c>
      <c r="AE57" s="11" t="n">
        <v>138.73</v>
      </c>
      <c r="AF57" s="11" t="n">
        <v>147.45</v>
      </c>
      <c r="AG57" s="11" t="n">
        <v>152.07</v>
      </c>
      <c r="AH57" s="11" t="n">
        <v>153.64</v>
      </c>
      <c r="AI57" s="11" t="n">
        <v>151.07</v>
      </c>
      <c r="AJ57" s="11" t="n">
        <v>152.04</v>
      </c>
      <c r="AK57" s="11" t="n">
        <v>149.51</v>
      </c>
      <c r="AL57" s="11" t="n">
        <v>142.74</v>
      </c>
      <c r="AM57" s="11" t="n">
        <v>139.58</v>
      </c>
      <c r="AN57" s="11" t="n">
        <v>146.46</v>
      </c>
      <c r="AO57" s="11" t="n">
        <v>148.31</v>
      </c>
      <c r="AP57" s="11" t="n">
        <v>148.33</v>
      </c>
      <c r="AQ57" s="11" t="n">
        <v>149.43</v>
      </c>
      <c r="AR57" s="11" t="n">
        <v>145.55</v>
      </c>
      <c r="AS57" s="11" t="n">
        <v>152.54</v>
      </c>
      <c r="AT57" s="11" t="n">
        <v>150.87</v>
      </c>
      <c r="AU57" s="11" t="n">
        <v>144.1</v>
      </c>
      <c r="AV57" s="11" t="n">
        <v>143.81</v>
      </c>
      <c r="AW57" s="11" t="n">
        <v>144.29</v>
      </c>
      <c r="AX57" s="11" t="n">
        <v>143.19</v>
      </c>
      <c r="AY57" s="11" t="n">
        <v>144.32</v>
      </c>
      <c r="AZ57" s="11" t="n">
        <v>148.82</v>
      </c>
      <c r="BA57" s="11" t="n">
        <v>144.25</v>
      </c>
      <c r="BB57" s="11" t="n">
        <v>151.66</v>
      </c>
      <c r="BC57" s="11" t="n">
        <v>149.28</v>
      </c>
      <c r="BD57" s="11" t="n">
        <v>133.27</v>
      </c>
      <c r="BE57" s="11" t="n">
        <v>130.16</v>
      </c>
      <c r="BF57" s="11" t="n">
        <v>131.26</v>
      </c>
      <c r="BG57" s="11" t="n">
        <v>119.07</v>
      </c>
      <c r="BH57" s="11" t="n">
        <v>112.03</v>
      </c>
      <c r="BI57" s="11" t="n">
        <v>112.2</v>
      </c>
      <c r="BJ57" s="11" t="n">
        <v>111.3</v>
      </c>
      <c r="BK57" s="11" t="n">
        <v>115.32</v>
      </c>
      <c r="BL57" s="11" t="n">
        <v>117.26</v>
      </c>
      <c r="BM57" s="11" t="n">
        <v>119.68</v>
      </c>
      <c r="BN57" s="11" t="n">
        <v>116.98</v>
      </c>
      <c r="BO57" s="11" t="n">
        <v>115.83</v>
      </c>
      <c r="BP57" s="11" t="n">
        <v>116.46</v>
      </c>
      <c r="BQ57" s="11" t="n">
        <v>117.53</v>
      </c>
    </row>
    <row r="58" customFormat="false" ht="15" hidden="false" customHeight="false" outlineLevel="0" collapsed="false">
      <c r="A58" s="8" t="s">
        <v>146</v>
      </c>
      <c r="B58" s="9" t="s">
        <v>152</v>
      </c>
      <c r="C58" s="10" t="s">
        <v>87</v>
      </c>
      <c r="D58" s="8" t="n">
        <v>0.6</v>
      </c>
      <c r="E58" s="11" t="n">
        <v>91.01</v>
      </c>
      <c r="F58" s="11" t="n">
        <v>92.96</v>
      </c>
      <c r="G58" s="11" t="n">
        <v>96.14</v>
      </c>
      <c r="H58" s="11" t="n">
        <v>94.78</v>
      </c>
      <c r="I58" s="11" t="n">
        <v>92.87</v>
      </c>
      <c r="J58" s="11" t="n">
        <v>92.1</v>
      </c>
      <c r="K58" s="11" t="n">
        <v>89.02</v>
      </c>
      <c r="L58" s="11" t="n">
        <v>86.92</v>
      </c>
      <c r="M58" s="11" t="n">
        <v>81.95</v>
      </c>
      <c r="N58" s="11" t="n">
        <v>81.33</v>
      </c>
      <c r="O58" s="11" t="n">
        <v>81.1</v>
      </c>
      <c r="P58" s="11" t="n">
        <v>78.27</v>
      </c>
      <c r="Q58" s="11" t="n">
        <v>77.7</v>
      </c>
      <c r="R58" s="11" t="n">
        <v>76.27</v>
      </c>
      <c r="S58" s="11" t="n">
        <v>78.38</v>
      </c>
      <c r="T58" s="11" t="n">
        <v>81.14</v>
      </c>
      <c r="U58" s="11" t="n">
        <v>81.23</v>
      </c>
      <c r="V58" s="11" t="n">
        <v>82.14</v>
      </c>
      <c r="W58" s="11" t="n">
        <v>78.47</v>
      </c>
      <c r="X58" s="11" t="n">
        <v>79.27</v>
      </c>
      <c r="Y58" s="11" t="n">
        <v>78.18</v>
      </c>
      <c r="Z58" s="11" t="n">
        <v>77.06</v>
      </c>
      <c r="AA58" s="11" t="n">
        <v>83.59</v>
      </c>
      <c r="AB58" s="11" t="n">
        <v>85.91</v>
      </c>
      <c r="AC58" s="11" t="n">
        <v>87.98</v>
      </c>
      <c r="AD58" s="11" t="n">
        <v>87.69</v>
      </c>
      <c r="AE58" s="11" t="n">
        <v>87.5</v>
      </c>
      <c r="AF58" s="11" t="n">
        <v>86.11</v>
      </c>
      <c r="AG58" s="11" t="n">
        <v>94.5</v>
      </c>
      <c r="AH58" s="11" t="n">
        <v>96.33</v>
      </c>
      <c r="AI58" s="11" t="n">
        <v>94.59</v>
      </c>
      <c r="AJ58" s="11" t="n">
        <v>96.61</v>
      </c>
      <c r="AK58" s="11" t="n">
        <v>94.49</v>
      </c>
      <c r="AL58" s="11" t="n">
        <v>97.28</v>
      </c>
      <c r="AM58" s="11" t="n">
        <v>104.55</v>
      </c>
      <c r="AN58" s="11" t="n">
        <v>110.04</v>
      </c>
      <c r="AO58" s="11" t="n">
        <v>113.17</v>
      </c>
      <c r="AP58" s="11" t="n">
        <v>120.05</v>
      </c>
      <c r="AQ58" s="11" t="n">
        <v>124.63</v>
      </c>
      <c r="AR58" s="11" t="n">
        <v>130.52</v>
      </c>
      <c r="AS58" s="11" t="n">
        <v>127.17</v>
      </c>
      <c r="AT58" s="11" t="n">
        <v>122.55</v>
      </c>
      <c r="AU58" s="11" t="n">
        <v>123.87</v>
      </c>
      <c r="AV58" s="11" t="n">
        <v>122.93</v>
      </c>
      <c r="AW58" s="11" t="n">
        <v>113.68</v>
      </c>
      <c r="AX58" s="11" t="n">
        <v>111.87</v>
      </c>
      <c r="AY58" s="11" t="n">
        <v>116.53</v>
      </c>
      <c r="AZ58" s="11" t="n">
        <v>117.17</v>
      </c>
      <c r="BA58" s="11" t="n">
        <v>114.85</v>
      </c>
      <c r="BB58" s="11" t="n">
        <v>117.03</v>
      </c>
      <c r="BC58" s="11" t="n">
        <v>117.05</v>
      </c>
      <c r="BD58" s="11" t="n">
        <v>115.13</v>
      </c>
      <c r="BE58" s="11" t="n">
        <v>112.73</v>
      </c>
      <c r="BF58" s="11" t="n">
        <v>113.55</v>
      </c>
      <c r="BG58" s="11" t="n">
        <v>112.19</v>
      </c>
      <c r="BH58" s="11" t="n">
        <v>112.19</v>
      </c>
      <c r="BI58" s="11" t="n">
        <v>112.52</v>
      </c>
      <c r="BJ58" s="11" t="n">
        <v>112.52</v>
      </c>
      <c r="BK58" s="11" t="n">
        <v>112.52</v>
      </c>
      <c r="BL58" s="11" t="n">
        <v>112.52</v>
      </c>
      <c r="BM58" s="11" t="n">
        <v>90.27</v>
      </c>
      <c r="BN58" s="11" t="n">
        <v>89.88</v>
      </c>
      <c r="BO58" s="11" t="n">
        <v>93.1</v>
      </c>
      <c r="BP58" s="11" t="n">
        <v>92.74</v>
      </c>
      <c r="BQ58" s="11" t="n">
        <v>93.2</v>
      </c>
    </row>
    <row r="59" customFormat="false" ht="15" hidden="false" customHeight="false" outlineLevel="0" collapsed="false">
      <c r="A59" s="8" t="s">
        <v>146</v>
      </c>
      <c r="B59" s="9" t="s">
        <v>153</v>
      </c>
      <c r="C59" s="10" t="s">
        <v>87</v>
      </c>
      <c r="D59" s="8" t="n">
        <v>0.1</v>
      </c>
      <c r="E59" s="11" t="n">
        <v>90.93</v>
      </c>
      <c r="F59" s="11" t="n">
        <v>84.64</v>
      </c>
      <c r="G59" s="11" t="n">
        <v>82.95</v>
      </c>
      <c r="H59" s="11" t="n">
        <v>82.4</v>
      </c>
      <c r="I59" s="11" t="n">
        <v>82.75</v>
      </c>
      <c r="J59" s="11" t="n">
        <v>83.02</v>
      </c>
      <c r="K59" s="11" t="n">
        <v>82.66</v>
      </c>
      <c r="L59" s="11" t="n">
        <v>82.14</v>
      </c>
      <c r="M59" s="11" t="n">
        <v>82.96</v>
      </c>
      <c r="N59" s="11" t="n">
        <v>83.18</v>
      </c>
      <c r="O59" s="11" t="n">
        <v>83.18</v>
      </c>
      <c r="P59" s="11" t="n">
        <v>83.56</v>
      </c>
      <c r="Q59" s="11" t="n">
        <v>83.58</v>
      </c>
      <c r="R59" s="11" t="n">
        <v>84.49</v>
      </c>
      <c r="S59" s="11" t="n">
        <v>92.21</v>
      </c>
      <c r="T59" s="11" t="n">
        <v>101.55</v>
      </c>
      <c r="U59" s="11" t="n">
        <v>106.4</v>
      </c>
      <c r="V59" s="11" t="n">
        <v>107.93</v>
      </c>
      <c r="W59" s="11" t="n">
        <v>106.79</v>
      </c>
      <c r="X59" s="11" t="n">
        <v>101.47</v>
      </c>
      <c r="Y59" s="11" t="n">
        <v>99.82</v>
      </c>
      <c r="Z59" s="11" t="n">
        <v>95.39</v>
      </c>
      <c r="AA59" s="11" t="n">
        <v>94.71</v>
      </c>
      <c r="AB59" s="11" t="n">
        <v>96.66</v>
      </c>
      <c r="AC59" s="11" t="n">
        <v>99.15</v>
      </c>
      <c r="AD59" s="11" t="n">
        <v>98.21</v>
      </c>
      <c r="AE59" s="11" t="n">
        <v>95.36</v>
      </c>
      <c r="AF59" s="11" t="n">
        <v>97.21</v>
      </c>
      <c r="AG59" s="11" t="n">
        <v>98.89</v>
      </c>
      <c r="AH59" s="11" t="n">
        <v>99.46</v>
      </c>
      <c r="AI59" s="11" t="n">
        <v>97.45</v>
      </c>
      <c r="AJ59" s="11" t="n">
        <v>96.34</v>
      </c>
      <c r="AK59" s="11" t="n">
        <v>92.72</v>
      </c>
      <c r="AL59" s="11" t="n">
        <v>87.23</v>
      </c>
      <c r="AM59" s="11" t="n">
        <v>87.57</v>
      </c>
      <c r="AN59" s="11" t="n">
        <v>87.07</v>
      </c>
      <c r="AO59" s="11" t="n">
        <v>87.74</v>
      </c>
      <c r="AP59" s="11" t="n">
        <v>88.72</v>
      </c>
      <c r="AQ59" s="11" t="n">
        <v>85.51</v>
      </c>
      <c r="AR59" s="11" t="n">
        <v>85.97</v>
      </c>
      <c r="AS59" s="11" t="n">
        <v>84.97</v>
      </c>
      <c r="AT59" s="11" t="n">
        <v>83.65</v>
      </c>
      <c r="AU59" s="11" t="n">
        <v>86.58</v>
      </c>
      <c r="AV59" s="11" t="n">
        <v>86.35</v>
      </c>
      <c r="AW59" s="11" t="n">
        <v>85.69</v>
      </c>
      <c r="AX59" s="11" t="n">
        <v>82.05</v>
      </c>
      <c r="AY59" s="11" t="n">
        <v>79.83</v>
      </c>
      <c r="AZ59" s="11" t="n">
        <v>80.42</v>
      </c>
      <c r="BA59" s="11" t="n">
        <v>80.54</v>
      </c>
      <c r="BB59" s="11" t="n">
        <v>80.88</v>
      </c>
      <c r="BC59" s="11" t="n">
        <v>80.27</v>
      </c>
      <c r="BD59" s="11" t="n">
        <v>78.32</v>
      </c>
      <c r="BE59" s="11" t="n">
        <v>77.48</v>
      </c>
      <c r="BF59" s="11" t="n">
        <v>79.2</v>
      </c>
      <c r="BG59" s="11" t="n">
        <v>79.91</v>
      </c>
      <c r="BH59" s="11" t="n">
        <v>79.41</v>
      </c>
      <c r="BI59" s="11" t="n">
        <v>78.57</v>
      </c>
      <c r="BJ59" s="11" t="n">
        <v>79.22</v>
      </c>
      <c r="BK59" s="11" t="n">
        <v>83.13</v>
      </c>
      <c r="BL59" s="11" t="n">
        <v>83.39</v>
      </c>
      <c r="BM59" s="11" t="n">
        <v>83.43</v>
      </c>
      <c r="BN59" s="11" t="n">
        <v>81.32</v>
      </c>
      <c r="BO59" s="11" t="n">
        <v>80.77</v>
      </c>
      <c r="BP59" s="11" t="n">
        <v>82.32</v>
      </c>
      <c r="BQ59" s="11" t="n">
        <v>87.19</v>
      </c>
    </row>
    <row r="60" customFormat="false" ht="15" hidden="false" customHeight="false" outlineLevel="0" collapsed="false">
      <c r="A60" s="8" t="s">
        <v>146</v>
      </c>
      <c r="B60" s="9" t="s">
        <v>154</v>
      </c>
      <c r="C60" s="10" t="s">
        <v>87</v>
      </c>
      <c r="D60" s="8" t="n">
        <v>0.2</v>
      </c>
      <c r="E60" s="11" t="n">
        <v>99.67</v>
      </c>
      <c r="F60" s="11" t="n">
        <v>99.67</v>
      </c>
      <c r="G60" s="11" t="n">
        <v>99.14</v>
      </c>
      <c r="H60" s="11" t="n">
        <v>100.58</v>
      </c>
      <c r="I60" s="11" t="n">
        <v>101.03</v>
      </c>
      <c r="J60" s="11" t="n">
        <v>99.84</v>
      </c>
      <c r="K60" s="11" t="n">
        <v>100.65</v>
      </c>
      <c r="L60" s="11" t="n">
        <v>102.26</v>
      </c>
      <c r="M60" s="11" t="n">
        <v>103.63</v>
      </c>
      <c r="N60" s="11" t="n">
        <v>104.57</v>
      </c>
      <c r="O60" s="11" t="n">
        <v>105.48</v>
      </c>
      <c r="P60" s="11" t="n">
        <v>106.4</v>
      </c>
      <c r="Q60" s="11" t="n">
        <v>105.77</v>
      </c>
      <c r="R60" s="11" t="n">
        <v>104.12</v>
      </c>
      <c r="S60" s="11" t="n">
        <v>105.42</v>
      </c>
      <c r="T60" s="11" t="n">
        <v>106.44</v>
      </c>
      <c r="U60" s="11" t="n">
        <v>110.39</v>
      </c>
      <c r="V60" s="11" t="n">
        <v>111.84</v>
      </c>
      <c r="W60" s="11" t="n">
        <v>111.96</v>
      </c>
      <c r="X60" s="11" t="n">
        <v>112.12</v>
      </c>
      <c r="Y60" s="11" t="n">
        <v>113.1</v>
      </c>
      <c r="Z60" s="11" t="n">
        <v>113.1</v>
      </c>
      <c r="AA60" s="11" t="n">
        <v>113.1</v>
      </c>
      <c r="AB60" s="11" t="n">
        <v>113.1</v>
      </c>
      <c r="AC60" s="11" t="n">
        <v>112.23</v>
      </c>
      <c r="AD60" s="11" t="n">
        <v>112.1</v>
      </c>
      <c r="AE60" s="11" t="n">
        <v>112.3</v>
      </c>
      <c r="AF60" s="11" t="n">
        <v>112.3</v>
      </c>
      <c r="AG60" s="11" t="n">
        <v>113.24</v>
      </c>
      <c r="AH60" s="11" t="n">
        <v>114.39</v>
      </c>
      <c r="AI60" s="11" t="n">
        <v>114.08</v>
      </c>
      <c r="AJ60" s="11" t="n">
        <v>113.53</v>
      </c>
      <c r="AK60" s="11" t="n">
        <v>113.95</v>
      </c>
      <c r="AL60" s="11" t="n">
        <v>114.99</v>
      </c>
      <c r="AM60" s="11" t="n">
        <v>114.99</v>
      </c>
      <c r="AN60" s="11" t="n">
        <v>114.99</v>
      </c>
      <c r="AO60" s="11" t="n">
        <v>115.59</v>
      </c>
      <c r="AP60" s="11" t="n">
        <v>116.5</v>
      </c>
      <c r="AQ60" s="11" t="n">
        <v>116.5</v>
      </c>
      <c r="AR60" s="11" t="n">
        <v>116.5</v>
      </c>
      <c r="AS60" s="11" t="n">
        <v>116.5</v>
      </c>
      <c r="AT60" s="11" t="n">
        <v>116.5</v>
      </c>
      <c r="AU60" s="11" t="n">
        <v>115.63</v>
      </c>
      <c r="AV60" s="11" t="n">
        <v>115.59</v>
      </c>
      <c r="AW60" s="11" t="n">
        <v>116.42</v>
      </c>
      <c r="AX60" s="11" t="n">
        <v>116.81</v>
      </c>
      <c r="AY60" s="11" t="n">
        <v>116.91</v>
      </c>
      <c r="AZ60" s="11" t="n">
        <v>116.91</v>
      </c>
      <c r="BA60" s="11" t="n">
        <v>116.15</v>
      </c>
      <c r="BB60" s="11" t="n">
        <v>117.87</v>
      </c>
      <c r="BC60" s="11" t="n">
        <v>120.5</v>
      </c>
      <c r="BD60" s="11" t="n">
        <v>122.67</v>
      </c>
      <c r="BE60" s="11" t="n">
        <v>123.55</v>
      </c>
      <c r="BF60" s="11" t="n">
        <v>123.55</v>
      </c>
      <c r="BG60" s="11" t="n">
        <v>119.54</v>
      </c>
      <c r="BH60" s="11" t="n">
        <v>122.09</v>
      </c>
      <c r="BI60" s="11" t="n">
        <v>122.58</v>
      </c>
      <c r="BJ60" s="11" t="n">
        <v>122.6</v>
      </c>
      <c r="BK60" s="11" t="n">
        <v>122.6</v>
      </c>
      <c r="BL60" s="11" t="n">
        <v>123.64</v>
      </c>
      <c r="BM60" s="11" t="n">
        <v>124.52</v>
      </c>
      <c r="BN60" s="11" t="n">
        <v>126</v>
      </c>
      <c r="BO60" s="11" t="n">
        <v>126.68</v>
      </c>
      <c r="BP60" s="11" t="n">
        <v>127.45</v>
      </c>
      <c r="BQ60" s="11" t="n">
        <v>127.21</v>
      </c>
    </row>
    <row r="61" customFormat="false" ht="15" hidden="false" customHeight="false" outlineLevel="0" collapsed="false">
      <c r="A61" s="8" t="s">
        <v>146</v>
      </c>
      <c r="B61" s="9" t="s">
        <v>155</v>
      </c>
      <c r="C61" s="10" t="s">
        <v>87</v>
      </c>
      <c r="D61" s="8" t="n">
        <v>0.1</v>
      </c>
      <c r="E61" s="11" t="n">
        <v>90.04</v>
      </c>
      <c r="F61" s="11" t="n">
        <v>90.04</v>
      </c>
      <c r="G61" s="11" t="n">
        <v>88.14</v>
      </c>
      <c r="H61" s="11" t="n">
        <v>86.45</v>
      </c>
      <c r="I61" s="11" t="n">
        <v>86.29</v>
      </c>
      <c r="J61" s="11" t="n">
        <v>86.29</v>
      </c>
      <c r="K61" s="11" t="n">
        <v>74.73</v>
      </c>
      <c r="L61" s="11" t="n">
        <v>67.41</v>
      </c>
      <c r="M61" s="11" t="n">
        <v>66.89</v>
      </c>
      <c r="N61" s="11" t="n">
        <v>66.8</v>
      </c>
      <c r="O61" s="11" t="n">
        <v>67.61</v>
      </c>
      <c r="P61" s="11" t="n">
        <v>69.84</v>
      </c>
      <c r="Q61" s="11" t="n">
        <v>73.6</v>
      </c>
      <c r="R61" s="11" t="n">
        <v>76.03</v>
      </c>
      <c r="S61" s="11" t="n">
        <v>75.98</v>
      </c>
      <c r="T61" s="11" t="n">
        <v>76.27</v>
      </c>
      <c r="U61" s="11" t="n">
        <v>76.31</v>
      </c>
      <c r="V61" s="11" t="n">
        <v>78.27</v>
      </c>
      <c r="W61" s="11" t="n">
        <v>82.88</v>
      </c>
      <c r="X61" s="11" t="n">
        <v>89.12</v>
      </c>
      <c r="Y61" s="11" t="n">
        <v>96.42</v>
      </c>
      <c r="Z61" s="11" t="n">
        <v>98.1</v>
      </c>
      <c r="AA61" s="11" t="n">
        <v>102.44</v>
      </c>
      <c r="AB61" s="11" t="n">
        <v>102.84</v>
      </c>
      <c r="AC61" s="11" t="n">
        <v>102.41</v>
      </c>
      <c r="AD61" s="11" t="n">
        <v>101.03</v>
      </c>
      <c r="AE61" s="11" t="n">
        <v>101.41</v>
      </c>
      <c r="AF61" s="11" t="n">
        <v>101.12</v>
      </c>
      <c r="AG61" s="11" t="n">
        <v>101.51</v>
      </c>
      <c r="AH61" s="11" t="n">
        <v>102.38</v>
      </c>
      <c r="AI61" s="11" t="n">
        <v>102.39</v>
      </c>
      <c r="AJ61" s="11" t="n">
        <v>101.81</v>
      </c>
      <c r="AK61" s="11" t="n">
        <v>103.12</v>
      </c>
      <c r="AL61" s="11" t="n">
        <v>106.79</v>
      </c>
      <c r="AM61" s="11" t="n">
        <v>106.94</v>
      </c>
      <c r="AN61" s="11" t="n">
        <v>104.74</v>
      </c>
      <c r="AO61" s="11" t="n">
        <v>102.3</v>
      </c>
      <c r="AP61" s="11" t="n">
        <v>100.62</v>
      </c>
      <c r="AQ61" s="11" t="n">
        <v>99.98</v>
      </c>
      <c r="AR61" s="11" t="n">
        <v>99.98</v>
      </c>
      <c r="AS61" s="11" t="n">
        <v>99.98</v>
      </c>
      <c r="AT61" s="11" t="n">
        <v>99.98</v>
      </c>
      <c r="AU61" s="11" t="n">
        <v>97.2</v>
      </c>
      <c r="AV61" s="11" t="n">
        <v>94.76</v>
      </c>
      <c r="AW61" s="11" t="n">
        <v>92.45</v>
      </c>
      <c r="AX61" s="11" t="n">
        <v>93.18</v>
      </c>
      <c r="AY61" s="11" t="n">
        <v>92.71</v>
      </c>
      <c r="AZ61" s="11" t="n">
        <v>91.83</v>
      </c>
      <c r="BA61" s="11" t="n">
        <v>92.37</v>
      </c>
      <c r="BB61" s="11" t="n">
        <v>91.63</v>
      </c>
      <c r="BC61" s="11" t="n">
        <v>90.02</v>
      </c>
      <c r="BD61" s="11" t="n">
        <v>87.12</v>
      </c>
      <c r="BE61" s="11" t="n">
        <v>83.8</v>
      </c>
      <c r="BF61" s="11" t="n">
        <v>84.72</v>
      </c>
      <c r="BG61" s="11" t="n">
        <v>89.53</v>
      </c>
      <c r="BH61" s="11" t="n">
        <v>88.16</v>
      </c>
      <c r="BI61" s="11" t="n">
        <v>86.3</v>
      </c>
      <c r="BJ61" s="11" t="n">
        <v>83.53</v>
      </c>
      <c r="BK61" s="11" t="n">
        <v>89.19</v>
      </c>
      <c r="BL61" s="11" t="n">
        <v>87.17</v>
      </c>
      <c r="BM61" s="11" t="n">
        <v>84.72</v>
      </c>
      <c r="BN61" s="11" t="n">
        <v>86.2</v>
      </c>
      <c r="BO61" s="11" t="n">
        <v>87.49</v>
      </c>
      <c r="BP61" s="11" t="n">
        <v>87.47</v>
      </c>
      <c r="BQ61" s="11" t="n">
        <v>86.33</v>
      </c>
    </row>
    <row r="62" customFormat="false" ht="15" hidden="false" customHeight="false" outlineLevel="0" collapsed="false">
      <c r="A62" s="8" t="s">
        <v>146</v>
      </c>
      <c r="B62" s="9" t="s">
        <v>156</v>
      </c>
      <c r="C62" s="10" t="s">
        <v>87</v>
      </c>
      <c r="D62" s="8" t="n">
        <v>0.1</v>
      </c>
      <c r="E62" s="11" t="n">
        <v>100.03</v>
      </c>
      <c r="F62" s="11" t="n">
        <v>100.03</v>
      </c>
      <c r="G62" s="11" t="n">
        <v>100.3</v>
      </c>
      <c r="H62" s="11" t="n">
        <v>102.28</v>
      </c>
      <c r="I62" s="11" t="n">
        <v>102.69</v>
      </c>
      <c r="J62" s="11" t="n">
        <v>101.44</v>
      </c>
      <c r="K62" s="11" t="n">
        <v>101.44</v>
      </c>
      <c r="L62" s="11" t="n">
        <v>101.44</v>
      </c>
      <c r="M62" s="11" t="n">
        <v>101.44</v>
      </c>
      <c r="N62" s="11" t="n">
        <v>99.32</v>
      </c>
      <c r="O62" s="11" t="n">
        <v>98.21</v>
      </c>
      <c r="P62" s="11" t="n">
        <v>97.59</v>
      </c>
      <c r="Q62" s="11" t="n">
        <v>98.63</v>
      </c>
      <c r="R62" s="11" t="n">
        <v>99.25</v>
      </c>
      <c r="S62" s="11" t="n">
        <v>99.42</v>
      </c>
      <c r="T62" s="11" t="n">
        <v>99.46</v>
      </c>
      <c r="U62" s="11" t="n">
        <v>101.49</v>
      </c>
      <c r="V62" s="11" t="n">
        <v>105.04</v>
      </c>
      <c r="W62" s="11" t="n">
        <v>105.04</v>
      </c>
      <c r="X62" s="11" t="n">
        <v>105.1</v>
      </c>
      <c r="Y62" s="11" t="n">
        <v>105.56</v>
      </c>
      <c r="Z62" s="11" t="n">
        <v>103.97</v>
      </c>
      <c r="AA62" s="11" t="n">
        <v>103.64</v>
      </c>
      <c r="AB62" s="11" t="n">
        <v>105.1</v>
      </c>
      <c r="AC62" s="11" t="n">
        <v>107.08</v>
      </c>
      <c r="AD62" s="11" t="n">
        <v>107.37</v>
      </c>
      <c r="AE62" s="11" t="n">
        <v>107.69</v>
      </c>
      <c r="AF62" s="11" t="n">
        <v>107.8</v>
      </c>
      <c r="AG62" s="11" t="n">
        <v>108.14</v>
      </c>
      <c r="AH62" s="11" t="n">
        <v>108.32</v>
      </c>
      <c r="AI62" s="11" t="n">
        <v>109.49</v>
      </c>
      <c r="AJ62" s="11" t="n">
        <v>110.84</v>
      </c>
      <c r="AK62" s="11" t="n">
        <v>110.51</v>
      </c>
      <c r="AL62" s="11" t="n">
        <v>111.49</v>
      </c>
      <c r="AM62" s="11" t="n">
        <v>112.78</v>
      </c>
      <c r="AN62" s="11" t="n">
        <v>113.59</v>
      </c>
      <c r="AO62" s="11" t="n">
        <v>113.87</v>
      </c>
      <c r="AP62" s="11" t="n">
        <v>114.6</v>
      </c>
      <c r="AQ62" s="11" t="n">
        <v>114.6</v>
      </c>
      <c r="AR62" s="11" t="n">
        <v>114.6</v>
      </c>
      <c r="AS62" s="11" t="n">
        <v>114.6</v>
      </c>
      <c r="AT62" s="11" t="n">
        <v>114.6</v>
      </c>
      <c r="AU62" s="11" t="n">
        <v>115.15</v>
      </c>
      <c r="AV62" s="11" t="n">
        <v>115.26</v>
      </c>
      <c r="AW62" s="11" t="n">
        <v>112.78</v>
      </c>
      <c r="AX62" s="11" t="n">
        <v>113.33</v>
      </c>
      <c r="AY62" s="11" t="n">
        <v>114.15</v>
      </c>
      <c r="AZ62" s="11" t="n">
        <v>116.18</v>
      </c>
      <c r="BA62" s="11" t="n">
        <v>121.18</v>
      </c>
      <c r="BB62" s="11" t="n">
        <v>121.09</v>
      </c>
      <c r="BC62" s="11" t="n">
        <v>126.54</v>
      </c>
      <c r="BD62" s="11" t="n">
        <v>129.3</v>
      </c>
      <c r="BE62" s="11" t="n">
        <v>129.97</v>
      </c>
      <c r="BF62" s="11" t="n">
        <v>128.58</v>
      </c>
      <c r="BG62" s="11" t="n">
        <v>127.94</v>
      </c>
      <c r="BH62" s="11" t="n">
        <v>125.11</v>
      </c>
      <c r="BI62" s="11" t="n">
        <v>127.61</v>
      </c>
      <c r="BJ62" s="11" t="n">
        <v>129.55</v>
      </c>
      <c r="BK62" s="11" t="n">
        <v>127.19</v>
      </c>
      <c r="BL62" s="11" t="n">
        <v>127.11</v>
      </c>
      <c r="BM62" s="11" t="n">
        <v>130.48</v>
      </c>
      <c r="BN62" s="11" t="n">
        <v>130.8</v>
      </c>
      <c r="BO62" s="11" t="n">
        <v>131.2</v>
      </c>
      <c r="BP62" s="11" t="n">
        <v>131.18</v>
      </c>
      <c r="BQ62" s="11" t="n">
        <v>132.47</v>
      </c>
    </row>
    <row r="63" customFormat="false" ht="15" hidden="false" customHeight="false" outlineLevel="0" collapsed="false">
      <c r="A63" s="8" t="s">
        <v>146</v>
      </c>
      <c r="B63" s="9" t="s">
        <v>157</v>
      </c>
      <c r="C63" s="10" t="s">
        <v>87</v>
      </c>
      <c r="D63" s="8" t="n">
        <v>0.5</v>
      </c>
      <c r="E63" s="11" t="n">
        <v>99.12</v>
      </c>
      <c r="F63" s="11" t="n">
        <v>99.12</v>
      </c>
      <c r="G63" s="11" t="n">
        <v>98.9</v>
      </c>
      <c r="H63" s="11" t="n">
        <v>98.32</v>
      </c>
      <c r="I63" s="11" t="n">
        <v>98.32</v>
      </c>
      <c r="J63" s="11" t="n">
        <v>97.56</v>
      </c>
      <c r="K63" s="11" t="n">
        <v>97.53</v>
      </c>
      <c r="L63" s="11" t="n">
        <v>97.53</v>
      </c>
      <c r="M63" s="11" t="n">
        <v>97.53</v>
      </c>
      <c r="N63" s="11" t="n">
        <v>97.53</v>
      </c>
      <c r="O63" s="11" t="n">
        <v>97.53</v>
      </c>
      <c r="P63" s="11" t="n">
        <v>94.91</v>
      </c>
      <c r="Q63" s="11" t="n">
        <v>92.66</v>
      </c>
      <c r="R63" s="11" t="n">
        <v>90.9</v>
      </c>
      <c r="S63" s="11" t="n">
        <v>90.23</v>
      </c>
      <c r="T63" s="11" t="n">
        <v>91.67</v>
      </c>
      <c r="U63" s="11" t="n">
        <v>92.08</v>
      </c>
      <c r="V63" s="11" t="n">
        <v>92.08</v>
      </c>
      <c r="W63" s="11" t="n">
        <v>92.08</v>
      </c>
      <c r="X63" s="11" t="n">
        <v>92.26</v>
      </c>
      <c r="Y63" s="11" t="n">
        <v>94.44</v>
      </c>
      <c r="Z63" s="11" t="n">
        <v>94.27</v>
      </c>
      <c r="AA63" s="11" t="n">
        <v>94.89</v>
      </c>
      <c r="AB63" s="11" t="n">
        <v>96.62</v>
      </c>
      <c r="AC63" s="11" t="n">
        <v>97.09</v>
      </c>
      <c r="AD63" s="11" t="n">
        <v>99.49</v>
      </c>
      <c r="AE63" s="11" t="n">
        <v>104.69</v>
      </c>
      <c r="AF63" s="11" t="n">
        <v>105.28</v>
      </c>
      <c r="AG63" s="11" t="n">
        <v>107.68</v>
      </c>
      <c r="AH63" s="11" t="n">
        <v>109.37</v>
      </c>
      <c r="AI63" s="11" t="n">
        <v>108.15</v>
      </c>
      <c r="AJ63" s="11" t="n">
        <v>107.91</v>
      </c>
      <c r="AK63" s="11" t="n">
        <v>107.98</v>
      </c>
      <c r="AL63" s="11" t="n">
        <v>109.05</v>
      </c>
      <c r="AM63" s="11" t="n">
        <v>110.41</v>
      </c>
      <c r="AN63" s="11" t="n">
        <v>112.44</v>
      </c>
      <c r="AO63" s="11" t="n">
        <v>120.07</v>
      </c>
      <c r="AP63" s="11" t="n">
        <v>124.43</v>
      </c>
      <c r="AQ63" s="11" t="n">
        <v>149.06</v>
      </c>
      <c r="AR63" s="11" t="n">
        <v>166.03</v>
      </c>
      <c r="AS63" s="11" t="n">
        <v>169.98</v>
      </c>
      <c r="AT63" s="11" t="n">
        <v>170.62</v>
      </c>
      <c r="AU63" s="11" t="n">
        <v>170.95</v>
      </c>
      <c r="AV63" s="11" t="n">
        <v>171.89</v>
      </c>
      <c r="AW63" s="11" t="n">
        <v>171.89</v>
      </c>
      <c r="AX63" s="11" t="n">
        <v>171.89</v>
      </c>
      <c r="AY63" s="11" t="n">
        <v>174.83</v>
      </c>
      <c r="AZ63" s="11" t="n">
        <v>183.86</v>
      </c>
      <c r="BA63" s="11" t="n">
        <v>188.05</v>
      </c>
      <c r="BB63" s="11" t="n">
        <v>176.6</v>
      </c>
      <c r="BC63" s="11" t="n">
        <v>182.63</v>
      </c>
      <c r="BD63" s="11" t="n">
        <v>186.99</v>
      </c>
      <c r="BE63" s="11" t="n">
        <v>181.62</v>
      </c>
      <c r="BF63" s="11" t="n">
        <v>181.19</v>
      </c>
      <c r="BG63" s="11" t="n">
        <v>180.72</v>
      </c>
      <c r="BH63" s="11" t="n">
        <v>179.02</v>
      </c>
      <c r="BI63" s="11" t="n">
        <v>179.65</v>
      </c>
      <c r="BJ63" s="11" t="n">
        <v>180.18</v>
      </c>
      <c r="BK63" s="11" t="n">
        <v>180.39</v>
      </c>
      <c r="BL63" s="11" t="n">
        <v>181.49</v>
      </c>
      <c r="BM63" s="11" t="n">
        <v>182.52</v>
      </c>
      <c r="BN63" s="11" t="n">
        <v>183.87</v>
      </c>
      <c r="BO63" s="11" t="n">
        <v>182.4</v>
      </c>
      <c r="BP63" s="11" t="n">
        <v>178.75</v>
      </c>
      <c r="BQ63" s="11" t="n">
        <v>176.37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66" min="3" style="0" width="8.5"/>
  </cols>
  <sheetData>
    <row r="1" customFormat="false" ht="15" hidden="false" customHeight="false" outlineLevel="0" collapsed="false">
      <c r="A1" s="6" t="s">
        <v>16</v>
      </c>
      <c r="B1" s="6" t="s">
        <v>17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40</v>
      </c>
      <c r="W1" s="7" t="s">
        <v>41</v>
      </c>
      <c r="X1" s="7" t="s">
        <v>42</v>
      </c>
      <c r="Y1" s="7" t="s">
        <v>43</v>
      </c>
      <c r="Z1" s="7" t="s">
        <v>44</v>
      </c>
      <c r="AA1" s="7" t="s">
        <v>45</v>
      </c>
      <c r="AB1" s="7" t="s">
        <v>46</v>
      </c>
      <c r="AC1" s="7" t="s">
        <v>47</v>
      </c>
      <c r="AD1" s="7" t="s">
        <v>48</v>
      </c>
      <c r="AE1" s="7" t="s">
        <v>49</v>
      </c>
      <c r="AF1" s="7" t="s">
        <v>50</v>
      </c>
      <c r="AG1" s="7" t="s">
        <v>51</v>
      </c>
      <c r="AH1" s="7" t="s">
        <v>52</v>
      </c>
      <c r="AI1" s="7" t="s">
        <v>53</v>
      </c>
      <c r="AJ1" s="7" t="s">
        <v>54</v>
      </c>
      <c r="AK1" s="7" t="s">
        <v>55</v>
      </c>
      <c r="AL1" s="7" t="s">
        <v>56</v>
      </c>
      <c r="AM1" s="7" t="s">
        <v>57</v>
      </c>
      <c r="AN1" s="7" t="s">
        <v>58</v>
      </c>
      <c r="AO1" s="7" t="s">
        <v>59</v>
      </c>
      <c r="AP1" s="7" t="s">
        <v>60</v>
      </c>
      <c r="AQ1" s="7" t="s">
        <v>61</v>
      </c>
      <c r="AR1" s="7" t="s">
        <v>62</v>
      </c>
      <c r="AS1" s="7" t="s">
        <v>63</v>
      </c>
      <c r="AT1" s="7" t="s">
        <v>64</v>
      </c>
      <c r="AU1" s="7" t="s">
        <v>65</v>
      </c>
      <c r="AV1" s="7" t="s">
        <v>66</v>
      </c>
      <c r="AW1" s="7" t="s">
        <v>67</v>
      </c>
      <c r="AX1" s="7" t="s">
        <v>68</v>
      </c>
      <c r="AY1" s="7" t="s">
        <v>69</v>
      </c>
      <c r="AZ1" s="7" t="s">
        <v>70</v>
      </c>
      <c r="BA1" s="7" t="s">
        <v>71</v>
      </c>
      <c r="BB1" s="7" t="s">
        <v>72</v>
      </c>
      <c r="BC1" s="7" t="s">
        <v>73</v>
      </c>
      <c r="BD1" s="7" t="s">
        <v>74</v>
      </c>
      <c r="BE1" s="7" t="s">
        <v>75</v>
      </c>
      <c r="BF1" s="7" t="s">
        <v>76</v>
      </c>
      <c r="BG1" s="7" t="s">
        <v>77</v>
      </c>
      <c r="BH1" s="7" t="s">
        <v>78</v>
      </c>
      <c r="BI1" s="7" t="s">
        <v>79</v>
      </c>
      <c r="BJ1" s="7" t="s">
        <v>80</v>
      </c>
      <c r="BK1" s="7" t="s">
        <v>81</v>
      </c>
      <c r="BL1" s="7" t="s">
        <v>82</v>
      </c>
      <c r="BM1" s="7" t="s">
        <v>83</v>
      </c>
      <c r="BN1" s="7" t="s">
        <v>84</v>
      </c>
    </row>
    <row r="2" customFormat="false" ht="15" hidden="false" customHeight="false" outlineLevel="0" collapsed="false">
      <c r="A2" s="8" t="s">
        <v>85</v>
      </c>
      <c r="B2" s="9" t="s">
        <v>86</v>
      </c>
      <c r="C2" s="12" t="n">
        <f aca="false">IFERROR('원자료(월별지수)'!F2/'원자료(월별지수)'!E2-1,"")</f>
        <v>0.00514162006133878</v>
      </c>
      <c r="D2" s="12" t="n">
        <f aca="false">IFERROR('원자료(월별지수)'!G2/'원자료(월별지수)'!F2-1,"")</f>
        <v>0.00744862245355837</v>
      </c>
      <c r="E2" s="12" t="n">
        <f aca="false">IFERROR('원자료(월별지수)'!H2/'원자료(월별지수)'!G2-1,"")</f>
        <v>0.00783894530554075</v>
      </c>
      <c r="F2" s="12" t="n">
        <f aca="false">IFERROR('원자료(월별지수)'!I2/'원자료(월별지수)'!H2-1,"")</f>
        <v>0.00212126568852744</v>
      </c>
      <c r="G2" s="12" t="n">
        <f aca="false">IFERROR('원자료(월별지수)'!J2/'원자료(월별지수)'!I2-1,"")</f>
        <v>0.000705591815134854</v>
      </c>
      <c r="H2" s="12" t="n">
        <f aca="false">IFERROR('원자료(월별지수)'!K2/'원자료(월별지수)'!J2-1,"")</f>
        <v>-0.000705094306363452</v>
      </c>
      <c r="I2" s="12" t="n">
        <f aca="false">IFERROR('원자료(월별지수)'!L2/'원자료(월별지수)'!K2-1,"")</f>
        <v>-0.00502734168283647</v>
      </c>
      <c r="J2" s="12" t="n">
        <f aca="false">IFERROR('원자료(월별지수)'!M2/'원자료(월별지수)'!L2-1,"")</f>
        <v>-0.0236681145288539</v>
      </c>
      <c r="K2" s="12" t="n">
        <f aca="false">IFERROR('원자료(월별지수)'!N2/'원자료(월별지수)'!M2-1,"")</f>
        <v>0.0200653713455601</v>
      </c>
      <c r="L2" s="12" t="n">
        <f aca="false">IFERROR('원자료(월별지수)'!O2/'원자료(월별지수)'!N2-1,"")</f>
        <v>-0.0360480640854473</v>
      </c>
      <c r="M2" s="12" t="n">
        <f aca="false">IFERROR('원자료(월별지수)'!P2/'원자료(월별지수)'!O2-1,"")</f>
        <v>-0.0276084949215143</v>
      </c>
      <c r="N2" s="12" t="n">
        <f aca="false">IFERROR('원자료(월별지수)'!Q2/'원자료(월별지수)'!P2-1,"")</f>
        <v>-0.0214604500997057</v>
      </c>
      <c r="O2" s="12" t="n">
        <f aca="false">IFERROR('원자료(월별지수)'!R2/'원자료(월별지수)'!Q2-1,"")</f>
        <v>-0.00485201358563803</v>
      </c>
      <c r="P2" s="12" t="n">
        <f aca="false">IFERROR('원자료(월별지수)'!S2/'원자료(월별지수)'!R2-1,"")</f>
        <v>-0.0155046318868844</v>
      </c>
      <c r="Q2" s="12" t="n">
        <f aca="false">IFERROR('원자료(월별지수)'!T2/'원자료(월별지수)'!S2-1,"")</f>
        <v>-0.038133914421553</v>
      </c>
      <c r="R2" s="12" t="n">
        <f aca="false">IFERROR('원자료(월별지수)'!U2/'원자료(월별지수)'!T2-1,"")</f>
        <v>-0.0270826897332921</v>
      </c>
      <c r="S2" s="12" t="n">
        <f aca="false">IFERROR('원자료(월별지수)'!V2/'원자료(월별지수)'!U2-1,"")</f>
        <v>-0.0218035563082134</v>
      </c>
      <c r="T2" s="12" t="n">
        <f aca="false">IFERROR('원자료(월별지수)'!W2/'원자료(월별지수)'!V2-1,"")</f>
        <v>-0.0251027916035491</v>
      </c>
      <c r="U2" s="12" t="n">
        <f aca="false">IFERROR('원자료(월별지수)'!X2/'원자료(월별지수)'!W2-1,"")</f>
        <v>-0.0431742508324084</v>
      </c>
      <c r="V2" s="12" t="n">
        <f aca="false">IFERROR('원자료(월별지수)'!Y2/'원자료(월별지수)'!X2-1,"")</f>
        <v>-0.0402505509801647</v>
      </c>
      <c r="W2" s="12" t="n">
        <f aca="false">IFERROR('원자료(월별지수)'!Z2/'원자료(월별지수)'!Y2-1,"")</f>
        <v>0.15349286922891</v>
      </c>
      <c r="X2" s="12" t="n">
        <f aca="false">IFERROR('원자료(월별지수)'!AA2/'원자료(월별지수)'!Z2-1,"")</f>
        <v>-0.00471500419111481</v>
      </c>
      <c r="Y2" s="12" t="n">
        <f aca="false">IFERROR('원자료(월별지수)'!AB2/'원자료(월별지수)'!AA2-1,"")</f>
        <v>-0.00400042109695753</v>
      </c>
      <c r="Z2" s="12" t="n">
        <f aca="false">IFERROR('원자료(월별지수)'!AC2/'원자료(월별지수)'!AB2-1,"")</f>
        <v>-0.0328717894514322</v>
      </c>
      <c r="AA2" s="12" t="n">
        <f aca="false">IFERROR('원자료(월별지수)'!AD2/'원자료(월별지수)'!AC2-1,"")</f>
        <v>-0.00404371584699459</v>
      </c>
      <c r="AB2" s="12" t="n">
        <f aca="false">IFERROR('원자료(월별지수)'!AE2/'원자료(월별지수)'!AD2-1,"")</f>
        <v>-0.00395040052672002</v>
      </c>
      <c r="AC2" s="12" t="n">
        <f aca="false">IFERROR('원자료(월별지수)'!AF2/'원자료(월별지수)'!AE2-1,"")</f>
        <v>-0.00572876501046593</v>
      </c>
      <c r="AD2" s="12" t="n">
        <f aca="false">IFERROR('원자료(월별지수)'!AG2/'원자료(월별지수)'!AF2-1,"")</f>
        <v>0.00265927977839331</v>
      </c>
      <c r="AE2" s="12" t="n">
        <f aca="false">IFERROR('원자료(월별지수)'!AH2/'원자료(월별지수)'!AG2-1,"")</f>
        <v>0.0197811912918555</v>
      </c>
      <c r="AF2" s="12" t="n">
        <f aca="false">IFERROR('원자료(월별지수)'!AI2/'원자료(월별지수)'!AH2-1,"")</f>
        <v>0.0231902904204595</v>
      </c>
      <c r="AG2" s="12" t="n">
        <f aca="false">IFERROR('원자료(월별지수)'!AJ2/'원자료(월별지수)'!AI2-1,"")</f>
        <v>0.0445880110146155</v>
      </c>
      <c r="AH2" s="12" t="n">
        <f aca="false">IFERROR('원자료(월별지수)'!AK2/'원자료(월별지수)'!AJ2-1,"")</f>
        <v>0.0301125418229748</v>
      </c>
      <c r="AI2" s="12" t="n">
        <f aca="false">IFERROR('원자료(월별지수)'!AL2/'원자료(월별지수)'!AK2-1,"")</f>
        <v>0.0513779527559055</v>
      </c>
      <c r="AJ2" s="12" t="n">
        <f aca="false">IFERROR('원자료(월별지수)'!AM2/'원자료(월별지수)'!AL2-1,"")</f>
        <v>-0.0512076390189103</v>
      </c>
      <c r="AK2" s="12" t="n">
        <f aca="false">IFERROR('원자료(월별지수)'!AN2/'원자료(월별지수)'!AM2-1,"")</f>
        <v>-0.00848544647261962</v>
      </c>
      <c r="AL2" s="12" t="n">
        <f aca="false">IFERROR('원자료(월별지수)'!AO2/'원자료(월별지수)'!AN2-1,"")</f>
        <v>-0.0117424619365111</v>
      </c>
      <c r="AM2" s="12" t="n">
        <f aca="false">IFERROR('원자료(월별지수)'!AP2/'원자료(월별지수)'!AO2-1,"")</f>
        <v>-0.0111771221427852</v>
      </c>
      <c r="AN2" s="12" t="n">
        <f aca="false">IFERROR('원자료(월별지수)'!AQ2/'원자료(월별지수)'!AP2-1,"")</f>
        <v>-0.00224032586558043</v>
      </c>
      <c r="AO2" s="12" t="n">
        <f aca="false">IFERROR('원자료(월별지수)'!AR2/'원자료(월별지수)'!AQ2-1,"")</f>
        <v>-0.0100020412329047</v>
      </c>
      <c r="AP2" s="12" t="n">
        <f aca="false">IFERROR('원자료(월별지수)'!AS2/'원자료(월별지수)'!AR2-1,"")</f>
        <v>-0.00938144329896906</v>
      </c>
      <c r="AQ2" s="12" t="n">
        <f aca="false">IFERROR('원자료(월별지수)'!AT2/'원자료(월별지수)'!AS2-1,"")</f>
        <v>-0.0119679467166199</v>
      </c>
      <c r="AR2" s="12" t="n">
        <f aca="false">IFERROR('원자료(월별지수)'!AU2/'원자료(월별지수)'!AT2-1,"")</f>
        <v>-0.0299136296608384</v>
      </c>
      <c r="AS2" s="12" t="n">
        <f aca="false">IFERROR('원자료(월별지수)'!AV2/'원자료(월별지수)'!AU2-1,"")</f>
        <v>-0.0216069489685125</v>
      </c>
      <c r="AT2" s="12" t="n">
        <f aca="false">IFERROR('원자료(월별지수)'!AW2/'원자료(월별지수)'!AV2-1,"")</f>
        <v>-0.0149816890467206</v>
      </c>
      <c r="AU2" s="12" t="n">
        <f aca="false">IFERROR('원자료(월별지수)'!AX2/'원자료(월별지수)'!AW2-1,"")</f>
        <v>0.0591482649842272</v>
      </c>
      <c r="AV2" s="12" t="n">
        <f aca="false">IFERROR('원자료(월별지수)'!AY2/'원자료(월별지수)'!AX2-1,"")</f>
        <v>-0.0112753962344432</v>
      </c>
      <c r="AW2" s="12" t="n">
        <f aca="false">IFERROR('원자료(월별지수)'!AZ2/'원자료(월별지수)'!AY2-1,"")</f>
        <v>0.0129101667563207</v>
      </c>
      <c r="AX2" s="12" t="n">
        <f aca="false">IFERROR('원자료(월별지수)'!BA2/'원자료(월별지수)'!AZ2-1,"")</f>
        <v>0.00977164099840677</v>
      </c>
      <c r="AY2" s="12" t="n">
        <f aca="false">IFERROR('원자료(월별지수)'!BB2/'원자료(월별지수)'!BA2-1,"")</f>
        <v>0.0128326496265911</v>
      </c>
      <c r="AZ2" s="12" t="n">
        <f aca="false">IFERROR('원자료(월별지수)'!BC2/'원자료(월별지수)'!BB2-1,"")</f>
        <v>0.0154740886904143</v>
      </c>
      <c r="BA2" s="12" t="n">
        <f aca="false">IFERROR('원자료(월별지수)'!BD2/'원자료(월별지수)'!BC2-1,"")</f>
        <v>0.00623849457966874</v>
      </c>
      <c r="BB2" s="12" t="n">
        <f aca="false">IFERROR('원자료(월별지수)'!BE2/'원자료(월별지수)'!BD2-1,"")</f>
        <v>0.00630145339973587</v>
      </c>
      <c r="BC2" s="12" t="n">
        <f aca="false">IFERROR('원자료(월별지수)'!BF2/'원자료(월별지수)'!BE2-1,"")</f>
        <v>0.0335319664680334</v>
      </c>
      <c r="BD2" s="12" t="n">
        <f aca="false">IFERROR('원자료(월별지수)'!BG2/'원자료(월별지수)'!BF2-1,"")</f>
        <v>0.0280465161731653</v>
      </c>
      <c r="BE2" s="12" t="n">
        <f aca="false">IFERROR('원자료(월별지수)'!BH2/'원자료(월별지수)'!BG2-1,"")</f>
        <v>0.0365019011406844</v>
      </c>
      <c r="BF2" s="12" t="n">
        <f aca="false">IFERROR('원자료(월별지수)'!BI2/'원자료(월별지수)'!BH2-1,"")</f>
        <v>0.0474137931034482</v>
      </c>
      <c r="BG2" s="12" t="n">
        <f aca="false">IFERROR('원자료(월별지수)'!BJ2/'원자료(월별지수)'!BI2-1,"")</f>
        <v>0.052184572279135</v>
      </c>
      <c r="BH2" s="12" t="n">
        <f aca="false">IFERROR('원자료(월별지수)'!BK2/'원자료(월별지수)'!BJ2-1,"")</f>
        <v>-0.0374469501539486</v>
      </c>
      <c r="BI2" s="12" t="n">
        <f aca="false">IFERROR('원자료(월별지수)'!BL2/'원자료(월별지수)'!BK2-1,"")</f>
        <v>-0.000172905679951541</v>
      </c>
      <c r="BJ2" s="12" t="n">
        <f aca="false">IFERROR('원자료(월별지수)'!BM2/'원자료(월별지수)'!BL2-1,"")</f>
        <v>0.00423692174664936</v>
      </c>
      <c r="BK2" s="12" t="n">
        <f aca="false">IFERROR('원자료(월별지수)'!BN2/'원자료(월별지수)'!BM2-1,"")</f>
        <v>0.00680213535388319</v>
      </c>
      <c r="BL2" s="12" t="n">
        <f aca="false">IFERROR('원자료(월별지수)'!BO2/'원자료(월별지수)'!BN2-1,"")</f>
        <v>0.00102625502437337</v>
      </c>
      <c r="BM2" s="12" t="n">
        <f aca="false">IFERROR('원자료(월별지수)'!BP2/'원자료(월별지수)'!BO2-1,"")</f>
        <v>-0.00452797949594197</v>
      </c>
      <c r="BN2" s="12" t="n">
        <f aca="false">IFERROR('원자료(월별지수)'!BQ2/'원자료(월별지수)'!BP2-1,"")</f>
        <v>-0.00248884311706143</v>
      </c>
    </row>
    <row r="3" customFormat="false" ht="15" hidden="false" customHeight="false" outlineLevel="0" collapsed="false">
      <c r="A3" s="8" t="s">
        <v>85</v>
      </c>
      <c r="B3" s="9" t="s">
        <v>88</v>
      </c>
      <c r="C3" s="12" t="n">
        <f aca="false">IFERROR('원자료(월별지수)'!F3/'원자료(월별지수)'!E3-1,"")</f>
        <v>0</v>
      </c>
      <c r="D3" s="12" t="n">
        <f aca="false">IFERROR('원자료(월별지수)'!G3/'원자료(월별지수)'!F3-1,"")</f>
        <v>0</v>
      </c>
      <c r="E3" s="12" t="n">
        <f aca="false">IFERROR('원자료(월별지수)'!H3/'원자료(월별지수)'!G3-1,"")</f>
        <v>0</v>
      </c>
      <c r="F3" s="12" t="n">
        <f aca="false">IFERROR('원자료(월별지수)'!I3/'원자료(월별지수)'!H3-1,"")</f>
        <v>0</v>
      </c>
      <c r="G3" s="12" t="n">
        <f aca="false">IFERROR('원자료(월별지수)'!J3/'원자료(월별지수)'!I3-1,"")</f>
        <v>0.00219999999999998</v>
      </c>
      <c r="H3" s="12" t="n">
        <f aca="false">IFERROR('원자료(월별지수)'!K3/'원자료(월별지수)'!J3-1,"")</f>
        <v>0.00309319497106375</v>
      </c>
      <c r="I3" s="12" t="n">
        <f aca="false">IFERROR('원자료(월별지수)'!L3/'원자료(월별지수)'!K3-1,"")</f>
        <v>0</v>
      </c>
      <c r="J3" s="12" t="n">
        <f aca="false">IFERROR('원자료(월별지수)'!M3/'원자료(월별지수)'!L3-1,"")</f>
        <v>0</v>
      </c>
      <c r="K3" s="12" t="n">
        <f aca="false">IFERROR('원자료(월별지수)'!N3/'원자료(월별지수)'!M3-1,"")</f>
        <v>0</v>
      </c>
      <c r="L3" s="12" t="n">
        <f aca="false">IFERROR('원자료(월별지수)'!O3/'원자료(월별지수)'!N3-1,"")</f>
        <v>0</v>
      </c>
      <c r="M3" s="12" t="n">
        <f aca="false">IFERROR('원자료(월별지수)'!P3/'원자료(월별지수)'!O3-1,"")</f>
        <v>0</v>
      </c>
      <c r="N3" s="12" t="n">
        <f aca="false">IFERROR('원자료(월별지수)'!Q3/'원자료(월별지수)'!P3-1,"")</f>
        <v>0.00606784044563802</v>
      </c>
      <c r="O3" s="12" t="n">
        <f aca="false">IFERROR('원자료(월별지수)'!R3/'원자료(월별지수)'!Q3-1,"")</f>
        <v>0.0176982400632786</v>
      </c>
      <c r="P3" s="12" t="n">
        <f aca="false">IFERROR('원자료(월별지수)'!S3/'원자료(월별지수)'!R3-1,"")</f>
        <v>0</v>
      </c>
      <c r="Q3" s="12" t="n">
        <f aca="false">IFERROR('원자료(월별지수)'!T3/'원자료(월별지수)'!S3-1,"")</f>
        <v>0</v>
      </c>
      <c r="R3" s="12" t="n">
        <f aca="false">IFERROR('원자료(월별지수)'!U3/'원자료(월별지수)'!T3-1,"")</f>
        <v>0</v>
      </c>
      <c r="S3" s="12" t="n">
        <f aca="false">IFERROR('원자료(월별지수)'!V3/'원자료(월별지수)'!U3-1,"")</f>
        <v>0.0408044301952781</v>
      </c>
      <c r="T3" s="12" t="n">
        <f aca="false">IFERROR('원자료(월별지수)'!W3/'원자료(월별지수)'!V3-1,"")</f>
        <v>0.0572201997573043</v>
      </c>
      <c r="U3" s="12" t="n">
        <f aca="false">IFERROR('원자료(월별지수)'!X3/'원자료(월별지수)'!W3-1,"")</f>
        <v>0</v>
      </c>
      <c r="V3" s="12" t="n">
        <f aca="false">IFERROR('원자료(월별지수)'!Y3/'원자료(월별지수)'!X3-1,"")</f>
        <v>0</v>
      </c>
      <c r="W3" s="12" t="n">
        <f aca="false">IFERROR('원자료(월별지수)'!Z3/'원자료(월별지수)'!Y3-1,"")</f>
        <v>0</v>
      </c>
      <c r="X3" s="12" t="n">
        <f aca="false">IFERROR('원자료(월별지수)'!AA3/'원자료(월별지수)'!Z3-1,"")</f>
        <v>0</v>
      </c>
      <c r="Y3" s="12" t="n">
        <f aca="false">IFERROR('원자료(월별지수)'!AB3/'원자료(월별지수)'!AA3-1,"")</f>
        <v>0</v>
      </c>
      <c r="Z3" s="12" t="n">
        <f aca="false">IFERROR('원자료(월별지수)'!AC3/'원자료(월별지수)'!AB3-1,"")</f>
        <v>0</v>
      </c>
      <c r="AA3" s="12" t="n">
        <f aca="false">IFERROR('원자료(월별지수)'!AD3/'원자료(월별지수)'!AC3-1,"")</f>
        <v>0</v>
      </c>
      <c r="AB3" s="12" t="n">
        <f aca="false">IFERROR('원자료(월별지수)'!AE3/'원자료(월별지수)'!AD3-1,"")</f>
        <v>0</v>
      </c>
      <c r="AC3" s="12" t="n">
        <f aca="false">IFERROR('원자료(월별지수)'!AF3/'원자료(월별지수)'!AE3-1,"")</f>
        <v>0</v>
      </c>
      <c r="AD3" s="12" t="n">
        <f aca="false">IFERROR('원자료(월별지수)'!AG3/'원자료(월별지수)'!AF3-1,"")</f>
        <v>0</v>
      </c>
      <c r="AE3" s="12" t="n">
        <f aca="false">IFERROR('원자료(월별지수)'!AH3/'원자료(월별지수)'!AG3-1,"")</f>
        <v>0</v>
      </c>
      <c r="AF3" s="12" t="n">
        <f aca="false">IFERROR('원자료(월별지수)'!AI3/'원자료(월별지수)'!AH3-1,"")</f>
        <v>0.0203072576372947</v>
      </c>
      <c r="AG3" s="12" t="n">
        <f aca="false">IFERROR('원자료(월별지수)'!AJ3/'원자료(월별지수)'!AI3-1,"")</f>
        <v>0.000778816199376919</v>
      </c>
      <c r="AH3" s="12" t="n">
        <f aca="false">IFERROR('원자료(월별지수)'!AK3/'원자료(월별지수)'!AJ3-1,"")</f>
        <v>0</v>
      </c>
      <c r="AI3" s="12" t="n">
        <f aca="false">IFERROR('원자료(월별지수)'!AL3/'원자료(월별지수)'!AK3-1,"")</f>
        <v>0</v>
      </c>
      <c r="AJ3" s="12" t="n">
        <f aca="false">IFERROR('원자료(월별지수)'!AM3/'원자료(월별지수)'!AL3-1,"")</f>
        <v>0</v>
      </c>
      <c r="AK3" s="12" t="n">
        <f aca="false">IFERROR('원자료(월별지수)'!AN3/'원자료(월별지수)'!AM3-1,"")</f>
        <v>0</v>
      </c>
      <c r="AL3" s="12" t="n">
        <f aca="false">IFERROR('원자료(월별지수)'!AO3/'원자료(월별지수)'!AN3-1,"")</f>
        <v>0</v>
      </c>
      <c r="AM3" s="12" t="n">
        <f aca="false">IFERROR('원자료(월별지수)'!AP3/'원자료(월별지수)'!AO3-1,"")</f>
        <v>0</v>
      </c>
      <c r="AN3" s="12" t="n">
        <f aca="false">IFERROR('원자료(월별지수)'!AQ3/'원자료(월별지수)'!AP3-1,"")</f>
        <v>0</v>
      </c>
      <c r="AO3" s="12" t="n">
        <f aca="false">IFERROR('원자료(월별지수)'!AR3/'원자료(월별지수)'!AQ3-1,"")</f>
        <v>0</v>
      </c>
      <c r="AP3" s="12" t="n">
        <f aca="false">IFERROR('원자료(월별지수)'!AS3/'원자료(월별지수)'!AR3-1,"")</f>
        <v>0</v>
      </c>
      <c r="AQ3" s="12" t="n">
        <f aca="false">IFERROR('원자료(월별지수)'!AT3/'원자료(월별지수)'!AS3-1,"")</f>
        <v>0.0843925637699956</v>
      </c>
      <c r="AR3" s="12" t="n">
        <f aca="false">IFERROR('원자료(월별지수)'!AU3/'원자료(월별지수)'!AT3-1,"")</f>
        <v>0.234989235308189</v>
      </c>
      <c r="AS3" s="12" t="n">
        <f aca="false">IFERROR('원자료(월별지수)'!AV3/'원자료(월별지수)'!AU3-1,"")</f>
        <v>0</v>
      </c>
      <c r="AT3" s="12" t="n">
        <f aca="false">IFERROR('원자료(월별지수)'!AW3/'원자료(월별지수)'!AV3-1,"")</f>
        <v>0</v>
      </c>
      <c r="AU3" s="12" t="n">
        <f aca="false">IFERROR('원자료(월별지수)'!AX3/'원자료(월별지수)'!AW3-1,"")</f>
        <v>0.0486828512396693</v>
      </c>
      <c r="AV3" s="12" t="n">
        <f aca="false">IFERROR('원자료(월별지수)'!AY3/'원자료(월별지수)'!AX3-1,"")</f>
        <v>0.0340475310922301</v>
      </c>
      <c r="AW3" s="12" t="n">
        <f aca="false">IFERROR('원자료(월별지수)'!AZ3/'원자료(월별지수)'!AY3-1,"")</f>
        <v>0</v>
      </c>
      <c r="AX3" s="12" t="n">
        <f aca="false">IFERROR('원자료(월별지수)'!BA3/'원자료(월별지수)'!AZ3-1,"")</f>
        <v>0</v>
      </c>
      <c r="AY3" s="12" t="n">
        <f aca="false">IFERROR('원자료(월별지수)'!BB3/'원자료(월별지수)'!BA3-1,"")</f>
        <v>0.00738314974694854</v>
      </c>
      <c r="AZ3" s="12" t="n">
        <f aca="false">IFERROR('원자료(월별지수)'!BC3/'원자료(월별지수)'!BB3-1,"")</f>
        <v>0.0278976298835629</v>
      </c>
      <c r="BA3" s="12" t="n">
        <f aca="false">IFERROR('원자료(월별지수)'!BD3/'원자료(월별지수)'!BC3-1,"")</f>
        <v>0.00534759358288772</v>
      </c>
      <c r="BB3" s="12" t="n">
        <f aca="false">IFERROR('원자료(월별지수)'!BE3/'원자료(월별지수)'!BD3-1,"")</f>
        <v>0.0138984214138642</v>
      </c>
      <c r="BC3" s="12" t="n">
        <f aca="false">IFERROR('원자료(월별지수)'!BF3/'원자료(월별지수)'!BE3-1,"")</f>
        <v>0.0182772042646808</v>
      </c>
      <c r="BD3" s="12" t="n">
        <f aca="false">IFERROR('원자료(월별지수)'!BG3/'원자료(월별지수)'!BF3-1,"")</f>
        <v>0.0178937454988644</v>
      </c>
      <c r="BE3" s="12" t="n">
        <f aca="false">IFERROR('원자료(월별지수)'!BH3/'원자료(월별지수)'!BG3-1,"")</f>
        <v>0</v>
      </c>
      <c r="BF3" s="12" t="n">
        <f aca="false">IFERROR('원자료(월별지수)'!BI3/'원자료(월별지수)'!BH3-1,"")</f>
        <v>0</v>
      </c>
      <c r="BG3" s="12" t="n">
        <f aca="false">IFERROR('원자료(월별지수)'!BJ3/'원자료(월별지수)'!BI3-1,"")</f>
        <v>0</v>
      </c>
      <c r="BH3" s="12" t="n">
        <f aca="false">IFERROR('원자료(월별지수)'!BK3/'원자료(월별지수)'!BJ3-1,"")</f>
        <v>0</v>
      </c>
      <c r="BI3" s="12" t="n">
        <f aca="false">IFERROR('원자료(월별지수)'!BL3/'원자료(월별지수)'!BK3-1,"")</f>
        <v>0</v>
      </c>
      <c r="BJ3" s="12" t="n">
        <f aca="false">IFERROR('원자료(월별지수)'!BM3/'원자료(월별지수)'!BL3-1,"")</f>
        <v>-0.0100141504299553</v>
      </c>
      <c r="BK3" s="12" t="n">
        <f aca="false">IFERROR('원자료(월별지수)'!BN3/'원자료(월별지수)'!BM3-1,"")</f>
        <v>-0.00571742715777901</v>
      </c>
      <c r="BL3" s="12" t="n">
        <f aca="false">IFERROR('원자료(월별지수)'!BO3/'원자료(월별지수)'!BN3-1,"")</f>
        <v>-0.0112794426628332</v>
      </c>
      <c r="BM3" s="12" t="n">
        <f aca="false">IFERROR('원자료(월별지수)'!BP3/'원자료(월별지수)'!BO3-1,"")</f>
        <v>-0.0307571859970921</v>
      </c>
      <c r="BN3" s="12" t="n">
        <f aca="false">IFERROR('원자료(월별지수)'!BQ3/'원자료(월별지수)'!BP3-1,"")</f>
        <v>-0.069870759289176</v>
      </c>
    </row>
    <row r="4" customFormat="false" ht="15" hidden="false" customHeight="false" outlineLevel="0" collapsed="false">
      <c r="A4" s="8" t="s">
        <v>85</v>
      </c>
      <c r="B4" s="9" t="s">
        <v>89</v>
      </c>
      <c r="C4" s="12" t="n">
        <f aca="false">IFERROR('원자료(월별지수)'!F4/'원자료(월별지수)'!E4-1,"")</f>
        <v>0.0068193740164364</v>
      </c>
      <c r="D4" s="12" t="n">
        <f aca="false">IFERROR('원자료(월별지수)'!G4/'원자료(월별지수)'!F4-1,"")</f>
        <v>0.0188433483848558</v>
      </c>
      <c r="E4" s="12" t="n">
        <f aca="false">IFERROR('원자료(월별지수)'!H4/'원자료(월별지수)'!G4-1,"")</f>
        <v>0.00298303929088894</v>
      </c>
      <c r="F4" s="12" t="n">
        <f aca="false">IFERROR('원자료(월별지수)'!I4/'원자료(월별지수)'!H4-1,"")</f>
        <v>0.00144459551325626</v>
      </c>
      <c r="G4" s="12" t="n">
        <f aca="false">IFERROR('원자료(월별지수)'!J4/'원자료(월별지수)'!I4-1,"")</f>
        <v>0.00899448451421292</v>
      </c>
      <c r="H4" s="12" t="n">
        <f aca="false">IFERROR('원자료(월별지수)'!K4/'원자료(월별지수)'!J4-1,"")</f>
        <v>0.0162307627617526</v>
      </c>
      <c r="I4" s="12" t="n">
        <f aca="false">IFERROR('원자료(월별지수)'!L4/'원자료(월별지수)'!K4-1,"")</f>
        <v>0.00165508109897394</v>
      </c>
      <c r="J4" s="12" t="n">
        <f aca="false">IFERROR('원자료(월별지수)'!M4/'원자료(월별지수)'!L4-1,"")</f>
        <v>0.000660938532716537</v>
      </c>
      <c r="K4" s="12" t="n">
        <f aca="false">IFERROR('원자료(월별지수)'!N4/'원자료(월별지수)'!M4-1,"")</f>
        <v>-0.00495376486129462</v>
      </c>
      <c r="L4" s="12" t="n">
        <f aca="false">IFERROR('원자료(월별지수)'!O4/'원자료(월별지수)'!N4-1,"")</f>
        <v>-0.01543312313309</v>
      </c>
      <c r="M4" s="12" t="n">
        <f aca="false">IFERROR('원자료(월별지수)'!P4/'원자료(월별지수)'!O4-1,"")</f>
        <v>-0.0305916062700151</v>
      </c>
      <c r="N4" s="12" t="n">
        <f aca="false">IFERROR('원자료(월별지수)'!Q4/'원자료(월별지수)'!P4-1,"")</f>
        <v>-0.0410327740589411</v>
      </c>
      <c r="O4" s="12" t="n">
        <f aca="false">IFERROR('원자료(월별지수)'!R4/'원자료(월별지수)'!Q4-1,"")</f>
        <v>-0.00725228900371677</v>
      </c>
      <c r="P4" s="12" t="n">
        <f aca="false">IFERROR('원자료(월별지수)'!S4/'원자료(월별지수)'!R4-1,"")</f>
        <v>0.00100447447721663</v>
      </c>
      <c r="Q4" s="12" t="n">
        <f aca="false">IFERROR('원자료(월별지수)'!T4/'원자료(월별지수)'!S4-1,"")</f>
        <v>-0.00145958766648435</v>
      </c>
      <c r="R4" s="12" t="n">
        <f aca="false">IFERROR('원자료(월별지수)'!U4/'원자료(월별지수)'!T4-1,"")</f>
        <v>0.0183628722821123</v>
      </c>
      <c r="S4" s="12" t="n">
        <f aca="false">IFERROR('원자료(월별지수)'!V4/'원자료(월별지수)'!U4-1,"")</f>
        <v>0.00897102359379209</v>
      </c>
      <c r="T4" s="12" t="n">
        <f aca="false">IFERROR('원자료(월별지수)'!W4/'원자료(월별지수)'!V4-1,"")</f>
        <v>-0.00204498977505119</v>
      </c>
      <c r="U4" s="12" t="n">
        <f aca="false">IFERROR('원자료(월별지수)'!X4/'원자료(월별지수)'!W4-1,"")</f>
        <v>0</v>
      </c>
      <c r="V4" s="12" t="n">
        <f aca="false">IFERROR('원자료(월별지수)'!Y4/'원자료(월별지수)'!X4-1,"")</f>
        <v>0</v>
      </c>
      <c r="W4" s="12" t="n">
        <f aca="false">IFERROR('원자료(월별지수)'!Z4/'원자료(월별지수)'!Y4-1,"")</f>
        <v>0.00944404846756952</v>
      </c>
      <c r="X4" s="12" t="n">
        <f aca="false">IFERROR('원자료(월별지수)'!AA4/'원자료(월별지수)'!Z4-1,"")</f>
        <v>-0.0375992939099734</v>
      </c>
      <c r="Y4" s="12" t="n">
        <f aca="false">IFERROR('원자료(월별지수)'!AB4/'원자료(월별지수)'!AA4-1,"")</f>
        <v>-0.0588774761555393</v>
      </c>
      <c r="Z4" s="12" t="n">
        <f aca="false">IFERROR('원자료(월별지수)'!AC4/'원자료(월별지수)'!AB4-1,"")</f>
        <v>-0.0159812901968427</v>
      </c>
      <c r="AA4" s="12" t="n">
        <f aca="false">IFERROR('원자료(월별지수)'!AD4/'원자료(월별지수)'!AC4-1,"")</f>
        <v>-0.0105961576549812</v>
      </c>
      <c r="AB4" s="12" t="n">
        <f aca="false">IFERROR('원자료(월별지수)'!AE4/'원자료(월별지수)'!AD4-1,"")</f>
        <v>-0.0103092783505154</v>
      </c>
      <c r="AC4" s="12" t="n">
        <f aca="false">IFERROR('원자료(월별지수)'!AF4/'원자료(월별지수)'!AE4-1,"")</f>
        <v>-0.00889967637540445</v>
      </c>
      <c r="AD4" s="12" t="n">
        <f aca="false">IFERROR('원자료(월별지수)'!AG4/'원자료(월별지수)'!AF4-1,"")</f>
        <v>0.000612244897959302</v>
      </c>
      <c r="AE4" s="12" t="n">
        <f aca="false">IFERROR('원자료(월별지수)'!AH4/'원자료(월별지수)'!AG4-1,"")</f>
        <v>0.0053028757903324</v>
      </c>
      <c r="AF4" s="12" t="n">
        <f aca="false">IFERROR('원자료(월별지수)'!AI4/'원자료(월별지수)'!AH4-1,"")</f>
        <v>0.00446337999594237</v>
      </c>
      <c r="AG4" s="12" t="n">
        <f aca="false">IFERROR('원자료(월별지수)'!AJ4/'원자료(월별지수)'!AI4-1,"")</f>
        <v>0.00979600080791765</v>
      </c>
      <c r="AH4" s="12" t="n">
        <f aca="false">IFERROR('원자료(월별지수)'!AK4/'원자료(월별지수)'!AJ4-1,"")</f>
        <v>0.0147014701470147</v>
      </c>
      <c r="AI4" s="12" t="n">
        <f aca="false">IFERROR('원자료(월별지수)'!AL4/'원자료(월별지수)'!AK4-1,"")</f>
        <v>0.00551941651882526</v>
      </c>
      <c r="AJ4" s="12" t="n">
        <f aca="false">IFERROR('원자료(월별지수)'!AM4/'원자료(월별지수)'!AL4-1,"")</f>
        <v>-0.000294059988237616</v>
      </c>
      <c r="AK4" s="12" t="n">
        <f aca="false">IFERROR('원자료(월별지수)'!AN4/'원자료(월별지수)'!AM4-1,"")</f>
        <v>-0.00647122266888911</v>
      </c>
      <c r="AL4" s="12" t="n">
        <f aca="false">IFERROR('원자료(월별지수)'!AO4/'원자료(월별지수)'!AN4-1,"")</f>
        <v>-0.00355274844567255</v>
      </c>
      <c r="AM4" s="12" t="n">
        <f aca="false">IFERROR('원자료(월별지수)'!AP4/'원자료(월별지수)'!AO4-1,"")</f>
        <v>-0.00673467366544511</v>
      </c>
      <c r="AN4" s="12" t="n">
        <f aca="false">IFERROR('원자료(월별지수)'!AQ4/'원자료(월별지수)'!AP4-1,"")</f>
        <v>0.0107687705653605</v>
      </c>
      <c r="AO4" s="12" t="n">
        <f aca="false">IFERROR('원자료(월별지수)'!AR4/'원자료(월별지수)'!AQ4-1,"")</f>
        <v>-0.000295945546019527</v>
      </c>
      <c r="AP4" s="12" t="n">
        <f aca="false">IFERROR('원자료(월별지수)'!AS4/'원자료(월별지수)'!AR4-1,"")</f>
        <v>-0.000493388592855748</v>
      </c>
      <c r="AQ4" s="12" t="n">
        <f aca="false">IFERROR('원자료(월별지수)'!AT4/'원자료(월별지수)'!AS4-1,"")</f>
        <v>0.00513377431138307</v>
      </c>
      <c r="AR4" s="12" t="n">
        <f aca="false">IFERROR('원자료(월별지수)'!AU4/'원자료(월별지수)'!AT4-1,"")</f>
        <v>0.000589333071407516</v>
      </c>
      <c r="AS4" s="12" t="n">
        <f aca="false">IFERROR('원자료(월별지수)'!AV4/'원자료(월별지수)'!AU4-1,"")</f>
        <v>0.000490821635417582</v>
      </c>
      <c r="AT4" s="12" t="n">
        <f aca="false">IFERROR('원자료(월별지수)'!AW4/'원자료(월별지수)'!AV4-1,"")</f>
        <v>-0.00382653061224492</v>
      </c>
      <c r="AU4" s="12" t="n">
        <f aca="false">IFERROR('원자료(월별지수)'!AX4/'원자료(월별지수)'!AW4-1,"")</f>
        <v>-0.00177287501231171</v>
      </c>
      <c r="AV4" s="12" t="n">
        <f aca="false">IFERROR('원자료(월별지수)'!AY4/'원자료(월별지수)'!AX4-1,"")</f>
        <v>0.0144055254070055</v>
      </c>
      <c r="AW4" s="12" t="n">
        <f aca="false">IFERROR('원자료(월별지수)'!AZ4/'원자료(월별지수)'!AY4-1,"")</f>
        <v>0.0232467658788056</v>
      </c>
      <c r="AX4" s="12" t="n">
        <f aca="false">IFERROR('원자료(월별지수)'!BA4/'원자료(월별지수)'!AZ4-1,"")</f>
        <v>-9.50570342206358E-005</v>
      </c>
      <c r="AY4" s="12" t="n">
        <f aca="false">IFERROR('원자료(월별지수)'!BB4/'원자료(월별지수)'!BA4-1,"")</f>
        <v>0.000760528567354202</v>
      </c>
      <c r="AZ4" s="12" t="n">
        <f aca="false">IFERROR('원자료(월별지수)'!BC4/'원자료(월별지수)'!BB4-1,"")</f>
        <v>0.00674456160349579</v>
      </c>
      <c r="BA4" s="12" t="n">
        <f aca="false">IFERROR('원자료(월별지수)'!BD4/'원자료(월별지수)'!BC4-1,"")</f>
        <v>-0.000377429703717791</v>
      </c>
      <c r="BB4" s="12" t="n">
        <f aca="false">IFERROR('원자료(월별지수)'!BE4/'원자료(월별지수)'!BD4-1,"")</f>
        <v>-0.00037757221068524</v>
      </c>
      <c r="BC4" s="12" t="n">
        <f aca="false">IFERROR('원자료(월별지수)'!BF4/'원자료(월별지수)'!BE4-1,"")</f>
        <v>-0.00576015108593009</v>
      </c>
      <c r="BD4" s="12" t="n">
        <f aca="false">IFERROR('원자료(월별지수)'!BG4/'원자료(월별지수)'!BF4-1,"")</f>
        <v>-0.00151961249881294</v>
      </c>
      <c r="BE4" s="12" t="n">
        <f aca="false">IFERROR('원자료(월별지수)'!BH4/'원자료(월별지수)'!BG4-1,"")</f>
        <v>0.0028536098164178</v>
      </c>
      <c r="BF4" s="12" t="n">
        <f aca="false">IFERROR('원자료(월별지수)'!BI4/'원자료(월별지수)'!BH4-1,"")</f>
        <v>-0.0015175946125392</v>
      </c>
      <c r="BG4" s="12" t="n">
        <f aca="false">IFERROR('원자료(월별지수)'!BJ4/'원자료(월별지수)'!BI4-1,"")</f>
        <v>-0.00303980241284307</v>
      </c>
      <c r="BH4" s="12" t="n">
        <f aca="false">IFERROR('원자료(월별지수)'!BK4/'원자료(월별지수)'!BJ4-1,"")</f>
        <v>-0.00276322058122924</v>
      </c>
      <c r="BI4" s="12" t="n">
        <f aca="false">IFERROR('원자료(월별지수)'!BL4/'원자료(월별지수)'!BK4-1,"")</f>
        <v>-0.00152875979361744</v>
      </c>
      <c r="BJ4" s="12" t="n">
        <f aca="false">IFERROR('원자료(월별지수)'!BM4/'원자료(월별지수)'!BL4-1,"")</f>
        <v>-0.00612440191387564</v>
      </c>
      <c r="BK4" s="12" t="n">
        <f aca="false">IFERROR('원자료(월별지수)'!BN4/'원자료(월별지수)'!BM4-1,"")</f>
        <v>-0.00760639322164458</v>
      </c>
      <c r="BL4" s="12" t="n">
        <f aca="false">IFERROR('원자료(월별지수)'!BO4/'원자료(월별지수)'!BN4-1,"")</f>
        <v>-0.000291064325215751</v>
      </c>
      <c r="BM4" s="12" t="n">
        <f aca="false">IFERROR('원자료(월별지수)'!BP4/'원자료(월별지수)'!BO4-1,"")</f>
        <v>0.000776397515527938</v>
      </c>
      <c r="BN4" s="12" t="n">
        <f aca="false">IFERROR('원자료(월별지수)'!BQ4/'원자료(월별지수)'!BP4-1,"")</f>
        <v>0.00135764158262219</v>
      </c>
    </row>
    <row r="5" customFormat="false" ht="15" hidden="false" customHeight="false" outlineLevel="0" collapsed="false">
      <c r="A5" s="8" t="s">
        <v>90</v>
      </c>
      <c r="B5" s="9" t="s">
        <v>91</v>
      </c>
      <c r="C5" s="12" t="n">
        <f aca="false">IFERROR('원자료(월별지수)'!F5/'원자료(월별지수)'!E5-1,"")</f>
        <v>0.0244971880659615</v>
      </c>
      <c r="D5" s="12" t="n">
        <f aca="false">IFERROR('원자료(월별지수)'!G5/'원자료(월별지수)'!F5-1,"")</f>
        <v>-0.0292147376256048</v>
      </c>
      <c r="E5" s="12" t="n">
        <f aca="false">IFERROR('원자료(월별지수)'!H5/'원자료(월별지수)'!G5-1,"")</f>
        <v>-0.103891125167721</v>
      </c>
      <c r="F5" s="12" t="n">
        <f aca="false">IFERROR('원자료(월별지수)'!I5/'원자료(월별지수)'!H5-1,"")</f>
        <v>-0.0850267379679145</v>
      </c>
      <c r="G5" s="12" t="n">
        <f aca="false">IFERROR('원자료(월별지수)'!J5/'원자료(월별지수)'!I5-1,"")</f>
        <v>-0.168088836937463</v>
      </c>
      <c r="H5" s="12" t="n">
        <f aca="false">IFERROR('원자료(월별지수)'!K5/'원자료(월별지수)'!J5-1,"")</f>
        <v>0.0917521427567796</v>
      </c>
      <c r="I5" s="12" t="n">
        <f aca="false">IFERROR('원자료(월별지수)'!L5/'원자료(월별지수)'!K5-1,"")</f>
        <v>0.302960102960103</v>
      </c>
      <c r="J5" s="12" t="n">
        <f aca="false">IFERROR('원자료(월별지수)'!M5/'원자료(월별지수)'!L5-1,"")</f>
        <v>0.0710193599367841</v>
      </c>
      <c r="K5" s="12" t="n">
        <f aca="false">IFERROR('원자료(월별지수)'!N5/'원자료(월별지수)'!M5-1,"")</f>
        <v>-0.0225029973254636</v>
      </c>
      <c r="L5" s="12" t="n">
        <f aca="false">IFERROR('원자료(월별지수)'!O5/'원자료(월별지수)'!N5-1,"")</f>
        <v>0.103783375790169</v>
      </c>
      <c r="M5" s="12" t="n">
        <f aca="false">IFERROR('원자료(월별지수)'!P5/'원자료(월별지수)'!O5-1,"")</f>
        <v>0.111975382511326</v>
      </c>
      <c r="N5" s="12" t="n">
        <f aca="false">IFERROR('원자료(월별지수)'!Q5/'원자료(월별지수)'!P5-1,"")</f>
        <v>-0.00453532170036131</v>
      </c>
      <c r="O5" s="12" t="n">
        <f aca="false">IFERROR('원자료(월별지수)'!R5/'원자료(월별지수)'!Q5-1,"")</f>
        <v>0.00972972972972963</v>
      </c>
      <c r="P5" s="12" t="n">
        <f aca="false">IFERROR('원자료(월별지수)'!S5/'원자료(월별지수)'!R5-1,"")</f>
        <v>0.101789538085041</v>
      </c>
      <c r="Q5" s="12" t="n">
        <f aca="false">IFERROR('원자료(월별지수)'!T5/'원자료(월별지수)'!S5-1,"")</f>
        <v>0.44985076698827</v>
      </c>
      <c r="R5" s="12" t="n">
        <f aca="false">IFERROR('원자료(월별지수)'!U5/'원자료(월별지수)'!T5-1,"")</f>
        <v>-0.102929911911145</v>
      </c>
      <c r="S5" s="12" t="n">
        <f aca="false">IFERROR('원자료(월별지수)'!V5/'원자료(월별지수)'!U5-1,"")</f>
        <v>-0.33231935105134</v>
      </c>
      <c r="T5" s="12" t="n">
        <f aca="false">IFERROR('원자료(월별지수)'!W5/'원자료(월별지수)'!V5-1,"")</f>
        <v>-0.00511549836144198</v>
      </c>
      <c r="U5" s="12" t="n">
        <f aca="false">IFERROR('원자료(월별지수)'!X5/'원자료(월별지수)'!W5-1,"")</f>
        <v>0.0829918855949225</v>
      </c>
      <c r="V5" s="12" t="n">
        <f aca="false">IFERROR('원자료(월별지수)'!Y5/'원자료(월별지수)'!X5-1,"")</f>
        <v>0.00467359050445104</v>
      </c>
      <c r="W5" s="12" t="n">
        <f aca="false">IFERROR('원자료(월별지수)'!Z5/'원자료(월별지수)'!Y5-1,"")</f>
        <v>-0.0173521376356789</v>
      </c>
      <c r="X5" s="12" t="n">
        <f aca="false">IFERROR('원자료(월별지수)'!AA5/'원자료(월별지수)'!Z5-1,"")</f>
        <v>0.0753681995792004</v>
      </c>
      <c r="Y5" s="12" t="n">
        <f aca="false">IFERROR('원자료(월별지수)'!AB5/'원자료(월별지수)'!AA5-1,"")</f>
        <v>-0.00593948710781933</v>
      </c>
      <c r="Z5" s="12" t="n">
        <f aca="false">IFERROR('원자료(월별지수)'!AC5/'원자료(월별지수)'!AB5-1,"")</f>
        <v>-0.00569380008435261</v>
      </c>
      <c r="AA5" s="12" t="n">
        <f aca="false">IFERROR('원자료(월별지수)'!AD5/'원자료(월별지수)'!AC5-1,"")</f>
        <v>-0.0340049487451396</v>
      </c>
      <c r="AB5" s="12" t="n">
        <f aca="false">IFERROR('원자료(월별지수)'!AE5/'원자료(월별지수)'!AD5-1,"")</f>
        <v>0.0666715456674474</v>
      </c>
      <c r="AC5" s="12" t="n">
        <f aca="false">IFERROR('원자료(월별지수)'!AF5/'원자료(월별지수)'!AE5-1,"")</f>
        <v>0.297770154373928</v>
      </c>
      <c r="AD5" s="12" t="n">
        <f aca="false">IFERROR('원자료(월별지수)'!AG5/'원자료(월별지수)'!AF5-1,"")</f>
        <v>0.126354744911446</v>
      </c>
      <c r="AE5" s="12" t="n">
        <f aca="false">IFERROR('원자료(월별지수)'!AH5/'원자료(월별지수)'!AG5-1,"")</f>
        <v>-0.416662755221779</v>
      </c>
      <c r="AF5" s="12" t="n">
        <f aca="false">IFERROR('원자료(월별지수)'!AI5/'원자료(월별지수)'!AH5-1,"")</f>
        <v>-0.0161731573865466</v>
      </c>
      <c r="AG5" s="12" t="n">
        <f aca="false">IFERROR('원자료(월별지수)'!AJ5/'원자료(월별지수)'!AI5-1,"")</f>
        <v>-0.00343502085548375</v>
      </c>
      <c r="AH5" s="12" t="n">
        <f aca="false">IFERROR('원자료(월별지수)'!AK5/'원자료(월별지수)'!AJ5-1,"")</f>
        <v>0.0302831350020518</v>
      </c>
      <c r="AI5" s="12" t="n">
        <f aca="false">IFERROR('원자료(월별지수)'!AL5/'원자료(월별지수)'!AK5-1,"")</f>
        <v>0.000238967659709877</v>
      </c>
      <c r="AJ5" s="12" t="n">
        <f aca="false">IFERROR('원자료(월별지수)'!AM5/'원자료(월별지수)'!AL5-1,"")</f>
        <v>0.0312176475272759</v>
      </c>
      <c r="AK5" s="12" t="n">
        <f aca="false">IFERROR('원자료(월별지수)'!AN5/'원자료(월별지수)'!AM5-1,"")</f>
        <v>0.0687311761525984</v>
      </c>
      <c r="AL5" s="12" t="n">
        <f aca="false">IFERROR('원자료(월별지수)'!AO5/'원자료(월별지수)'!AN5-1,"")</f>
        <v>0.00137293157020024</v>
      </c>
      <c r="AM5" s="12" t="n">
        <f aca="false">IFERROR('원자료(월별지수)'!AP5/'원자료(월별지수)'!AO5-1,"")</f>
        <v>-0.100736036946168</v>
      </c>
      <c r="AN5" s="12" t="n">
        <f aca="false">IFERROR('원자료(월별지수)'!AQ5/'원자료(월별지수)'!AP5-1,"")</f>
        <v>0.0979778526721233</v>
      </c>
      <c r="AO5" s="12" t="n">
        <f aca="false">IFERROR('원자료(월별지수)'!AR5/'원자료(월별지수)'!AQ5-1,"")</f>
        <v>0.027260103778411</v>
      </c>
      <c r="AP5" s="12" t="n">
        <f aca="false">IFERROR('원자료(월별지수)'!AS5/'원자료(월별지수)'!AR5-1,"")</f>
        <v>-0.130833807626636</v>
      </c>
      <c r="AQ5" s="12" t="n">
        <f aca="false">IFERROR('원자료(월별지수)'!AT5/'원자료(월별지수)'!AS5-1,"")</f>
        <v>-0.261766391094377</v>
      </c>
      <c r="AR5" s="12" t="n">
        <f aca="false">IFERROR('원자료(월별지수)'!AU5/'원자료(월별지수)'!AT5-1,"")</f>
        <v>-0.00875928595187925</v>
      </c>
      <c r="AS5" s="12" t="n">
        <f aca="false">IFERROR('원자료(월별지수)'!AV5/'원자료(월별지수)'!AU5-1,"")</f>
        <v>0.0642058165548098</v>
      </c>
      <c r="AT5" s="12" t="n">
        <f aca="false">IFERROR('원자료(월별지수)'!AW5/'원자료(월별지수)'!AV5-1,"")</f>
        <v>0.0704225352112677</v>
      </c>
      <c r="AU5" s="12" t="n">
        <f aca="false">IFERROR('원자료(월별지수)'!AX5/'원자료(월별지수)'!AW5-1,"")</f>
        <v>-0.0372152395915162</v>
      </c>
      <c r="AV5" s="12" t="n">
        <f aca="false">IFERROR('원자료(월별지수)'!AY5/'원자료(월별지수)'!AX5-1,"")</f>
        <v>0.0317185109637941</v>
      </c>
      <c r="AW5" s="12" t="n">
        <f aca="false">IFERROR('원자료(월별지수)'!AZ5/'원자료(월별지수)'!AY5-1,"")</f>
        <v>0.0847172795571374</v>
      </c>
      <c r="AX5" s="12" t="n">
        <f aca="false">IFERROR('원자료(월별지수)'!BA5/'원자료(월별지수)'!AZ5-1,"")</f>
        <v>0.0363619794039916</v>
      </c>
      <c r="AY5" s="12" t="n">
        <f aca="false">IFERROR('원자료(월별지수)'!BB5/'원자료(월별지수)'!BA5-1,"")</f>
        <v>0.030689412592332</v>
      </c>
      <c r="AZ5" s="12" t="n">
        <f aca="false">IFERROR('원자료(월별지수)'!BC5/'원자료(월별지수)'!BB5-1,"")</f>
        <v>-0.120979438614453</v>
      </c>
      <c r="BA5" s="12" t="n">
        <f aca="false">IFERROR('원자료(월별지수)'!BD5/'원자료(월별지수)'!BC5-1,"")</f>
        <v>0.0548383965835195</v>
      </c>
      <c r="BB5" s="12" t="n">
        <f aca="false">IFERROR('원자료(월별지수)'!BE5/'원자료(월별지수)'!BD5-1,"")</f>
        <v>-0.0187707029812294</v>
      </c>
      <c r="BC5" s="12" t="n">
        <f aca="false">IFERROR('원자료(월별지수)'!BF5/'원자료(월별지수)'!BE5-1,"")</f>
        <v>-0.128750937734434</v>
      </c>
      <c r="BD5" s="12" t="n">
        <f aca="false">IFERROR('원자료(월별지수)'!BG5/'원자료(월별지수)'!BF5-1,"")</f>
        <v>0.0496179098051879</v>
      </c>
      <c r="BE5" s="12" t="n">
        <f aca="false">IFERROR('원자료(월별지수)'!BH5/'원자료(월별지수)'!BG5-1,"")</f>
        <v>0.246718621821165</v>
      </c>
      <c r="BF5" s="12" t="n">
        <f aca="false">IFERROR('원자료(월별지수)'!BI5/'원자료(월별지수)'!BH5-1,"")</f>
        <v>0.022125349564073</v>
      </c>
      <c r="BG5" s="12" t="n">
        <f aca="false">IFERROR('원자료(월별지수)'!BJ5/'원자료(월별지수)'!BI5-1,"")</f>
        <v>0.051983584131327</v>
      </c>
      <c r="BH5" s="12" t="n">
        <f aca="false">IFERROR('원자료(월별지수)'!BK5/'원자료(월별지수)'!BJ5-1,"")</f>
        <v>0.0426068997169742</v>
      </c>
      <c r="BI5" s="12" t="n">
        <f aca="false">IFERROR('원자료(월별지수)'!BL5/'원자료(월별지수)'!BK5-1,"")</f>
        <v>0.110124724871607</v>
      </c>
      <c r="BJ5" s="12" t="n">
        <f aca="false">IFERROR('원자료(월별지수)'!BM5/'원자료(월별지수)'!BL5-1,"")</f>
        <v>0.234088956447029</v>
      </c>
      <c r="BK5" s="12" t="n">
        <f aca="false">IFERROR('원자료(월별지수)'!BN5/'원자료(월별지수)'!BM5-1,"")</f>
        <v>-0.149520698334494</v>
      </c>
      <c r="BL5" s="12" t="n">
        <f aca="false">IFERROR('원자료(월별지수)'!BO5/'원자료(월별지수)'!BN5-1,"")</f>
        <v>0.0375920911781373</v>
      </c>
      <c r="BM5" s="12" t="n">
        <f aca="false">IFERROR('원자료(월별지수)'!BP5/'원자료(월별지수)'!BO5-1,"")</f>
        <v>0.0986770239106687</v>
      </c>
      <c r="BN5" s="12" t="n">
        <f aca="false">IFERROR('원자료(월별지수)'!BQ5/'원자료(월별지수)'!BP5-1,"")</f>
        <v>-0.297779496243924</v>
      </c>
    </row>
    <row r="6" customFormat="false" ht="15" hidden="false" customHeight="false" outlineLevel="0" collapsed="false">
      <c r="A6" s="8" t="s">
        <v>90</v>
      </c>
      <c r="B6" s="9" t="s">
        <v>92</v>
      </c>
      <c r="C6" s="12" t="n">
        <f aca="false">IFERROR('원자료(월별지수)'!F6/'원자료(월별지수)'!E6-1,"")</f>
        <v>0.0323627684964201</v>
      </c>
      <c r="D6" s="12" t="n">
        <f aca="false">IFERROR('원자료(월별지수)'!G6/'원자료(월별지수)'!F6-1,"")</f>
        <v>-0.0158128352136119</v>
      </c>
      <c r="E6" s="12" t="n">
        <f aca="false">IFERROR('원자료(월별지수)'!H6/'원자료(월별지수)'!G6-1,"")</f>
        <v>-0.00920793009489807</v>
      </c>
      <c r="F6" s="12" t="n">
        <f aca="false">IFERROR('원자료(월별지수)'!I6/'원자료(월별지수)'!H6-1,"")</f>
        <v>0.157136083451873</v>
      </c>
      <c r="G6" s="12" t="n">
        <f aca="false">IFERROR('원자료(월별지수)'!J6/'원자료(월별지수)'!I6-1,"")</f>
        <v>0.0327815112276677</v>
      </c>
      <c r="H6" s="12" t="n">
        <f aca="false">IFERROR('원자료(월별지수)'!K6/'원자료(월별지수)'!J6-1,"")</f>
        <v>-0.318203459768291</v>
      </c>
      <c r="I6" s="12" t="n">
        <f aca="false">IFERROR('원자료(월별지수)'!L6/'원자료(월별지수)'!K6-1,"")</f>
        <v>-0.0296787709497206</v>
      </c>
      <c r="J6" s="12" t="n">
        <f aca="false">IFERROR('원자료(월별지수)'!M6/'원자료(월별지수)'!L6-1,"")</f>
        <v>-0.010555355643517</v>
      </c>
      <c r="K6" s="12" t="n">
        <f aca="false">IFERROR('원자료(월별지수)'!N6/'원자료(월별지수)'!M6-1,"")</f>
        <v>-0.107770638865317</v>
      </c>
      <c r="L6" s="12" t="n">
        <f aca="false">IFERROR('원자료(월별지수)'!O6/'원자료(월별지수)'!N6-1,"")</f>
        <v>-0.0293478260869565</v>
      </c>
      <c r="M6" s="12" t="n">
        <f aca="false">IFERROR('원자료(월별지수)'!P6/'원자료(월별지수)'!O6-1,"")</f>
        <v>0.0547312430011198</v>
      </c>
      <c r="N6" s="12" t="n">
        <f aca="false">IFERROR('원자료(월별지수)'!Q6/'원자료(월별지수)'!P6-1,"")</f>
        <v>-0.0506967485069674</v>
      </c>
      <c r="O6" s="12" t="n">
        <f aca="false">IFERROR('원자료(월별지수)'!R6/'원자료(월별지수)'!Q6-1,"")</f>
        <v>0.0100657066964909</v>
      </c>
      <c r="P6" s="12" t="n">
        <f aca="false">IFERROR('원자료(월별지수)'!S6/'원자료(월별지수)'!R6-1,"")</f>
        <v>-0.0364013840830449</v>
      </c>
      <c r="Q6" s="12" t="n">
        <f aca="false">IFERROR('원자료(월별지수)'!T6/'원자료(월별지수)'!S6-1,"")</f>
        <v>0.032605573111175</v>
      </c>
      <c r="R6" s="12" t="n">
        <f aca="false">IFERROR('원자료(월별지수)'!U6/'원자료(월별지수)'!T6-1,"")</f>
        <v>-0.0222562247878703</v>
      </c>
      <c r="S6" s="12" t="n">
        <f aca="false">IFERROR('원자료(월별지수)'!V6/'원자료(월별지수)'!U6-1,"")</f>
        <v>0.00512163892445572</v>
      </c>
      <c r="T6" s="12" t="n">
        <f aca="false">IFERROR('원자료(월별지수)'!W6/'원자료(월별지수)'!V6-1,"")</f>
        <v>-0.0992215145081388</v>
      </c>
      <c r="U6" s="12" t="n">
        <f aca="false">IFERROR('원자료(월별지수)'!X6/'원자료(월별지수)'!W6-1,"")</f>
        <v>0.0600251414204902</v>
      </c>
      <c r="V6" s="12" t="n">
        <f aca="false">IFERROR('원자료(월별지수)'!Y6/'원자료(월별지수)'!X6-1,"")</f>
        <v>-0.0481766973021049</v>
      </c>
      <c r="W6" s="12" t="n">
        <f aca="false">IFERROR('원자료(월별지수)'!Z6/'원자료(월별지수)'!Y6-1,"")</f>
        <v>-0.0900171312879613</v>
      </c>
      <c r="X6" s="12" t="n">
        <f aca="false">IFERROR('원자료(월별지수)'!AA6/'원자료(월별지수)'!Z6-1,"")</f>
        <v>0.0664042443950026</v>
      </c>
      <c r="Y6" s="12" t="n">
        <f aca="false">IFERROR('원자료(월별지수)'!AB6/'원자료(월별지수)'!AA6-1,"")</f>
        <v>0.108489809019419</v>
      </c>
      <c r="Z6" s="12" t="n">
        <f aca="false">IFERROR('원자료(월별지수)'!AC6/'원자료(월별지수)'!AB6-1,"")</f>
        <v>0.00332995511799639</v>
      </c>
      <c r="AA6" s="12" t="n">
        <f aca="false">IFERROR('원자료(월별지수)'!AD6/'원자료(월별지수)'!AC6-1,"")</f>
        <v>0.00404040404040407</v>
      </c>
      <c r="AB6" s="12" t="n">
        <f aca="false">IFERROR('원자료(월별지수)'!AE6/'원자료(월별지수)'!AD6-1,"")</f>
        <v>-0.0829261281977579</v>
      </c>
      <c r="AC6" s="12" t="n">
        <f aca="false">IFERROR('원자료(월별지수)'!AF6/'원자료(월별지수)'!AE6-1,"")</f>
        <v>0.0277385989656793</v>
      </c>
      <c r="AD6" s="12" t="n">
        <f aca="false">IFERROR('원자료(월별지수)'!AG6/'원자료(월별지수)'!AF6-1,"")</f>
        <v>0.106434888685575</v>
      </c>
      <c r="AE6" s="12" t="n">
        <f aca="false">IFERROR('원자료(월별지수)'!AH6/'원자료(월별지수)'!AG6-1,"")</f>
        <v>0.148428886438809</v>
      </c>
      <c r="AF6" s="12" t="n">
        <f aca="false">IFERROR('원자료(월별지수)'!AI6/'원자료(월별지수)'!AH6-1,"")</f>
        <v>0.062642505700228</v>
      </c>
      <c r="AG6" s="12" t="n">
        <f aca="false">IFERROR('원자료(월별지수)'!AJ6/'원자료(월별지수)'!AI6-1,"")</f>
        <v>0.0715979672501412</v>
      </c>
      <c r="AH6" s="12" t="n">
        <f aca="false">IFERROR('원자료(월별지수)'!AK6/'원자료(월별지수)'!AJ6-1,"")</f>
        <v>-0.196964906734113</v>
      </c>
      <c r="AI6" s="12" t="n">
        <f aca="false">IFERROR('원자료(월별지수)'!AL6/'원자료(월별지수)'!AK6-1,"")</f>
        <v>-0.1249343832021</v>
      </c>
      <c r="AJ6" s="12" t="n">
        <f aca="false">IFERROR('원자료(월별지수)'!AM6/'원자료(월별지수)'!AL6-1,"")</f>
        <v>0.00554889022195537</v>
      </c>
      <c r="AK6" s="12" t="n">
        <f aca="false">IFERROR('원자료(월별지수)'!AN6/'원자료(월별지수)'!AM6-1,"")</f>
        <v>0.0162565249813573</v>
      </c>
      <c r="AL6" s="12" t="n">
        <f aca="false">IFERROR('원자료(월별지수)'!AO6/'원자료(월별지수)'!AN6-1,"")</f>
        <v>0.119313178749633</v>
      </c>
      <c r="AM6" s="12" t="n">
        <f aca="false">IFERROR('원자료(월별지수)'!AP6/'원자료(월별지수)'!AO6-1,"")</f>
        <v>0.100432673397142</v>
      </c>
      <c r="AN6" s="12" t="n">
        <f aca="false">IFERROR('원자료(월별지수)'!AQ6/'원자료(월별지수)'!AP6-1,"")</f>
        <v>0.0731562015965683</v>
      </c>
      <c r="AO6" s="12" t="n">
        <f aca="false">IFERROR('원자료(월별지수)'!AR6/'원자료(월별지수)'!AQ6-1,"")</f>
        <v>0.0049961141334518</v>
      </c>
      <c r="AP6" s="12" t="n">
        <f aca="false">IFERROR('원자료(월별지수)'!AS6/'원자료(월별지수)'!AR6-1,"")</f>
        <v>0.0715863897481219</v>
      </c>
      <c r="AQ6" s="12" t="n">
        <f aca="false">IFERROR('원자료(월별지수)'!AT6/'원자료(월별지수)'!AS6-1,"")</f>
        <v>-0.0942268041237113</v>
      </c>
      <c r="AR6" s="12" t="n">
        <f aca="false">IFERROR('원자료(월별지수)'!AU6/'원자료(월별지수)'!AT6-1,"")</f>
        <v>-0.244821306624175</v>
      </c>
      <c r="AS6" s="12" t="n">
        <f aca="false">IFERROR('원자료(월별지수)'!AV6/'원자료(월별지수)'!AU6-1,"")</f>
        <v>0.053353428786737</v>
      </c>
      <c r="AT6" s="12" t="n">
        <f aca="false">IFERROR('원자료(월별지수)'!AW6/'원자료(월별지수)'!AV6-1,"")</f>
        <v>0.0297610530834167</v>
      </c>
      <c r="AU6" s="12" t="n">
        <f aca="false">IFERROR('원자료(월별지수)'!AX6/'원자료(월별지수)'!AW6-1,"")</f>
        <v>-0.0703070723912742</v>
      </c>
      <c r="AV6" s="12" t="n">
        <f aca="false">IFERROR('원자료(월별지수)'!AY6/'원자료(월별지수)'!AX6-1,"")</f>
        <v>0.0620236138095951</v>
      </c>
      <c r="AW6" s="12" t="n">
        <f aca="false">IFERROR('원자료(월별지수)'!AZ6/'원자료(월별지수)'!AY6-1,"")</f>
        <v>0.117647058823529</v>
      </c>
      <c r="AX6" s="12" t="n">
        <f aca="false">IFERROR('원자료(월별지수)'!BA6/'원자료(월별지수)'!AZ6-1,"")</f>
        <v>-0.0605640896499623</v>
      </c>
      <c r="AY6" s="12" t="n">
        <f aca="false">IFERROR('원자료(월별지수)'!BB6/'원자료(월별지수)'!BA6-1,"")</f>
        <v>0.0352499664924273</v>
      </c>
      <c r="AZ6" s="12" t="n">
        <f aca="false">IFERROR('원자료(월별지수)'!BC6/'원자료(월별지수)'!BB6-1,"")</f>
        <v>-0.101760745727602</v>
      </c>
      <c r="BA6" s="12" t="n">
        <f aca="false">IFERROR('원자료(월별지수)'!BD6/'원자료(월별지수)'!BC6-1,"")</f>
        <v>-0.0392043816661862</v>
      </c>
      <c r="BB6" s="12" t="n">
        <f aca="false">IFERROR('원자료(월별지수)'!BE6/'원자료(월별지수)'!BD6-1,"")</f>
        <v>0.0402040204020404</v>
      </c>
      <c r="BC6" s="12" t="n">
        <f aca="false">IFERROR('원자료(월별지수)'!BF6/'원자료(월별지수)'!BE6-1,"")</f>
        <v>0.0979232766080183</v>
      </c>
      <c r="BD6" s="12" t="n">
        <f aca="false">IFERROR('원자료(월별지수)'!BG6/'원자료(월별지수)'!BF6-1,"")</f>
        <v>-0.102324970445291</v>
      </c>
      <c r="BE6" s="12" t="n">
        <f aca="false">IFERROR('원자료(월별지수)'!BH6/'원자료(월별지수)'!BG6-1,"")</f>
        <v>0.221685689201053</v>
      </c>
      <c r="BF6" s="12" t="n">
        <f aca="false">IFERROR('원자료(월별지수)'!BI6/'원자료(월별지수)'!BH6-1,"")</f>
        <v>-0.153191999041801</v>
      </c>
      <c r="BG6" s="12" t="n">
        <f aca="false">IFERROR('원자료(월별지수)'!BJ6/'원자료(월별지수)'!BI6-1,"")</f>
        <v>0.0134370579915135</v>
      </c>
      <c r="BH6" s="12" t="n">
        <f aca="false">IFERROR('원자료(월별지수)'!BK6/'원자료(월별지수)'!BJ6-1,"")</f>
        <v>0.0117236566643404</v>
      </c>
      <c r="BI6" s="12" t="n">
        <f aca="false">IFERROR('원자료(월별지수)'!BL6/'원자료(월별지수)'!BK6-1,"")</f>
        <v>0.0430404193681888</v>
      </c>
      <c r="BJ6" s="12" t="n">
        <f aca="false">IFERROR('원자료(월별지수)'!BM6/'원자료(월별지수)'!BL6-1,"")</f>
        <v>0.0588546488559716</v>
      </c>
      <c r="BK6" s="12" t="n">
        <f aca="false">IFERROR('원자료(월별지수)'!BN6/'원자료(월별지수)'!BM6-1,"")</f>
        <v>0.00337247064701463</v>
      </c>
      <c r="BL6" s="12" t="n">
        <f aca="false">IFERROR('원자료(월별지수)'!BO6/'원자료(월별지수)'!BN6-1,"")</f>
        <v>-0.0546495705215985</v>
      </c>
      <c r="BM6" s="12" t="n">
        <f aca="false">IFERROR('원자료(월별지수)'!BP6/'원자료(월별지수)'!BO6-1,"")</f>
        <v>-0.0460890176455097</v>
      </c>
      <c r="BN6" s="12" t="n">
        <f aca="false">IFERROR('원자료(월별지수)'!BQ6/'원자료(월별지수)'!BP6-1,"")</f>
        <v>0.0596355604638323</v>
      </c>
    </row>
    <row r="7" customFormat="false" ht="15" hidden="false" customHeight="false" outlineLevel="0" collapsed="false">
      <c r="A7" s="8" t="s">
        <v>93</v>
      </c>
      <c r="B7" s="9" t="s">
        <v>94</v>
      </c>
      <c r="C7" s="12" t="n">
        <f aca="false">IFERROR('원자료(월별지수)'!F7/'원자료(월별지수)'!E7-1,"")</f>
        <v>0.526338893766462</v>
      </c>
      <c r="D7" s="12" t="n">
        <f aca="false">IFERROR('원자료(월별지수)'!G7/'원자료(월별지수)'!F7-1,"")</f>
        <v>0.225913143514524</v>
      </c>
      <c r="E7" s="12" t="n">
        <f aca="false">IFERROR('원자료(월별지수)'!H7/'원자료(월별지수)'!G7-1,"")</f>
        <v>0.0222873900293257</v>
      </c>
      <c r="F7" s="12" t="n">
        <f aca="false">IFERROR('원자료(월별지수)'!I7/'원자료(월별지수)'!H7-1,"")</f>
        <v>-0.236029833620195</v>
      </c>
      <c r="G7" s="12" t="n">
        <f aca="false">IFERROR('원자료(월별지수)'!J7/'원자료(월별지수)'!I7-1,"")</f>
        <v>-0.263442475217783</v>
      </c>
      <c r="H7" s="12" t="n">
        <f aca="false">IFERROR('원자료(월별지수)'!K7/'원자료(월별지수)'!J7-1,"")</f>
        <v>0.21431484502447</v>
      </c>
      <c r="I7" s="12" t="n">
        <f aca="false">IFERROR('원자료(월별지수)'!L7/'원자료(월별지수)'!K7-1,"")</f>
        <v>0.472040302267003</v>
      </c>
      <c r="J7" s="12" t="n">
        <f aca="false">IFERROR('원자료(월별지수)'!M7/'원자료(월별지수)'!L7-1,"")</f>
        <v>0.268765685603468</v>
      </c>
      <c r="K7" s="12" t="n">
        <f aca="false">IFERROR('원자료(월별지수)'!N7/'원자료(월별지수)'!M7-1,"")</f>
        <v>-0.479140442366481</v>
      </c>
      <c r="L7" s="12" t="n">
        <f aca="false">IFERROR('원자료(월별지수)'!O7/'원자료(월별지수)'!N7-1,"")</f>
        <v>0.53495598135681</v>
      </c>
      <c r="M7" s="12" t="n">
        <f aca="false">IFERROR('원자료(월별지수)'!P7/'원자료(월별지수)'!O7-1,"")</f>
        <v>-0.137426900584795</v>
      </c>
      <c r="N7" s="12" t="n">
        <f aca="false">IFERROR('원자료(월별지수)'!Q7/'원자료(월별지수)'!P7-1,"")</f>
        <v>-0.0267275097783573</v>
      </c>
      <c r="O7" s="12" t="n">
        <f aca="false">IFERROR('원자료(월별지수)'!R7/'원자료(월별지수)'!Q7-1,"")</f>
        <v>0.0290689886135296</v>
      </c>
      <c r="P7" s="12" t="n">
        <f aca="false">IFERROR('원자료(월별지수)'!S7/'원자료(월별지수)'!R7-1,"")</f>
        <v>0.140458214006769</v>
      </c>
      <c r="Q7" s="12" t="n">
        <f aca="false">IFERROR('원자료(월별지수)'!T7/'원자료(월별지수)'!S7-1,"")</f>
        <v>0.116082638968154</v>
      </c>
      <c r="R7" s="12" t="n">
        <f aca="false">IFERROR('원자료(월별지수)'!U7/'원자료(월별지수)'!T7-1,"")</f>
        <v>0.0968500715892819</v>
      </c>
      <c r="S7" s="12" t="n">
        <f aca="false">IFERROR('원자료(월별지수)'!V7/'원자료(월별지수)'!U7-1,"")</f>
        <v>-0.193659673659674</v>
      </c>
      <c r="T7" s="12" t="n">
        <f aca="false">IFERROR('원자료(월별지수)'!W7/'원자료(월별지수)'!V7-1,"")</f>
        <v>0.470166512488437</v>
      </c>
      <c r="U7" s="12" t="n">
        <f aca="false">IFERROR('원자료(월별지수)'!X7/'원자료(월별지수)'!W7-1,"")</f>
        <v>0.320906087777253</v>
      </c>
      <c r="V7" s="12" t="n">
        <f aca="false">IFERROR('원자료(월별지수)'!Y7/'원자료(월별지수)'!X7-1,"")</f>
        <v>0.767595569846374</v>
      </c>
      <c r="W7" s="12" t="n">
        <f aca="false">IFERROR('원자료(월별지수)'!Z7/'원자료(월별지수)'!Y7-1,"")</f>
        <v>-0.61670877547583</v>
      </c>
      <c r="X7" s="12" t="n">
        <f aca="false">IFERROR('원자료(월별지수)'!AA7/'원자료(월별지수)'!Z7-1,"")</f>
        <v>-0.451133766918615</v>
      </c>
      <c r="Y7" s="12" t="n">
        <f aca="false">IFERROR('원자료(월별지수)'!AB7/'원자료(월별지수)'!AA7-1,"")</f>
        <v>-0.199839871897518</v>
      </c>
      <c r="Z7" s="12" t="n">
        <f aca="false">IFERROR('원자료(월별지수)'!AC7/'원자료(월별지수)'!AB7-1,"")</f>
        <v>0.00760456273764265</v>
      </c>
      <c r="AA7" s="12" t="n">
        <f aca="false">IFERROR('원자료(월별지수)'!AD7/'원자료(월별지수)'!AC7-1,"")</f>
        <v>0.146971201588878</v>
      </c>
      <c r="AB7" s="12" t="n">
        <f aca="false">IFERROR('원자료(월별지수)'!AE7/'원자료(월별지수)'!AD7-1,"")</f>
        <v>0.241731601731602</v>
      </c>
      <c r="AC7" s="12" t="n">
        <f aca="false">IFERROR('원자료(월별지수)'!AF7/'원자료(월별지수)'!AE7-1,"")</f>
        <v>0.339841026356157</v>
      </c>
      <c r="AD7" s="12" t="n">
        <f aca="false">IFERROR('원자료(월별지수)'!AG7/'원자료(월별지수)'!AF7-1,"")</f>
        <v>-0.0249791840133221</v>
      </c>
      <c r="AE7" s="12" t="n">
        <f aca="false">IFERROR('원자료(월별지수)'!AH7/'원자료(월별지수)'!AG7-1,"")</f>
        <v>-0.0964987190435526</v>
      </c>
      <c r="AF7" s="12" t="n">
        <f aca="false">IFERROR('원자료(월별지수)'!AI7/'원자료(월별지수)'!AH7-1,"")</f>
        <v>-0.0482041587901702</v>
      </c>
      <c r="AG7" s="12" t="n">
        <f aca="false">IFERROR('원자료(월별지수)'!AJ7/'원자료(월별지수)'!AI7-1,"")</f>
        <v>1.12698609731877</v>
      </c>
      <c r="AH7" s="12" t="n">
        <f aca="false">IFERROR('원자료(월별지수)'!AK7/'원자료(월별지수)'!AJ7-1,"")</f>
        <v>-0.0695068573096003</v>
      </c>
      <c r="AI7" s="12" t="n">
        <f aca="false">IFERROR('원자료(월별지수)'!AL7/'원자료(월별지수)'!AK7-1,"")</f>
        <v>-0.235260913196187</v>
      </c>
      <c r="AJ7" s="12" t="n">
        <f aca="false">IFERROR('원자료(월별지수)'!AM7/'원자료(월별지수)'!AL7-1,"")</f>
        <v>-0.418108750922661</v>
      </c>
      <c r="AK7" s="12" t="n">
        <f aca="false">IFERROR('원자료(월별지수)'!AN7/'원자료(월별지수)'!AM7-1,"")</f>
        <v>-0.0748414376321354</v>
      </c>
      <c r="AL7" s="12" t="n">
        <f aca="false">IFERROR('원자료(월별지수)'!AO7/'원자료(월별지수)'!AN7-1,"")</f>
        <v>0.0257464960390006</v>
      </c>
      <c r="AM7" s="12" t="n">
        <f aca="false">IFERROR('원자료(월별지수)'!AP7/'원자료(월별지수)'!AO7-1,"")</f>
        <v>0.2630328234071</v>
      </c>
      <c r="AN7" s="12" t="n">
        <f aca="false">IFERROR('원자료(월별지수)'!AQ7/'원자료(월별지수)'!AP7-1,"")</f>
        <v>0.360065851364064</v>
      </c>
      <c r="AO7" s="12" t="n">
        <f aca="false">IFERROR('원자료(월별지수)'!AR7/'원자료(월별지수)'!AQ7-1,"")</f>
        <v>0.298374546083348</v>
      </c>
      <c r="AP7" s="12" t="n">
        <f aca="false">IFERROR('원자료(월별지수)'!AS7/'원자료(월별지수)'!AR7-1,"")</f>
        <v>-0.189851501631484</v>
      </c>
      <c r="AQ7" s="12" t="n">
        <f aca="false">IFERROR('원자료(월별지수)'!AT7/'원자료(월별지수)'!AS7-1,"")</f>
        <v>-0.45314811770508</v>
      </c>
      <c r="AR7" s="12" t="n">
        <f aca="false">IFERROR('원자료(월별지수)'!AU7/'원자료(월별지수)'!AT7-1,"")</f>
        <v>0.505486246805952</v>
      </c>
      <c r="AS7" s="12" t="n">
        <f aca="false">IFERROR('원자료(월별지수)'!AV7/'원자료(월별지수)'!AU7-1,"")</f>
        <v>0.730031948881789</v>
      </c>
      <c r="AT7" s="12" t="n">
        <f aca="false">IFERROR('원자료(월별지수)'!AW7/'원자료(월별지수)'!AV7-1,"")</f>
        <v>0.6101108033241</v>
      </c>
      <c r="AU7" s="12" t="n">
        <f aca="false">IFERROR('원자료(월별지수)'!AX7/'원자료(월별지수)'!AW7-1,"")</f>
        <v>-0.460967741935484</v>
      </c>
      <c r="AV7" s="12" t="n">
        <f aca="false">IFERROR('원자료(월별지수)'!AY7/'원자료(월별지수)'!AX7-1,"")</f>
        <v>-0.423299421504089</v>
      </c>
      <c r="AW7" s="12" t="n">
        <f aca="false">IFERROR('원자료(월별지수)'!AZ7/'원자료(월별지수)'!AY7-1,"")</f>
        <v>0.0690649141012336</v>
      </c>
      <c r="AX7" s="12" t="n">
        <f aca="false">IFERROR('원자료(월별지수)'!BA7/'원자료(월별지수)'!AZ7-1,"")</f>
        <v>0.422131147540984</v>
      </c>
      <c r="AY7" s="12" t="n">
        <f aca="false">IFERROR('원자료(월별지수)'!BB7/'원자료(월별지수)'!BA7-1,"")</f>
        <v>0.068330047019566</v>
      </c>
      <c r="AZ7" s="12" t="n">
        <f aca="false">IFERROR('원자료(월별지수)'!BC7/'원자료(월별지수)'!BB7-1,"")</f>
        <v>0.0195215446865904</v>
      </c>
      <c r="BA7" s="12" t="n">
        <f aca="false">IFERROR('원자료(월별지수)'!BD7/'원자료(월별지수)'!BC7-1,"")</f>
        <v>-0.0759643503690294</v>
      </c>
      <c r="BB7" s="12" t="n">
        <f aca="false">IFERROR('원자료(월별지수)'!BE7/'원자료(월별지수)'!BD7-1,"")</f>
        <v>-0.588124481953131</v>
      </c>
      <c r="BC7" s="12" t="n">
        <f aca="false">IFERROR('원자료(월별지수)'!BF7/'원자료(월별지수)'!BE7-1,"")</f>
        <v>0.31101353823637</v>
      </c>
      <c r="BD7" s="12" t="n">
        <f aca="false">IFERROR('원자료(월별지수)'!BG7/'원자료(월별지수)'!BF7-1,"")</f>
        <v>0.516885291655038</v>
      </c>
      <c r="BE7" s="12" t="n">
        <f aca="false">IFERROR('원자료(월별지수)'!BH7/'원자료(월별지수)'!BG7-1,"")</f>
        <v>0.355381784728611</v>
      </c>
      <c r="BF7" s="12" t="n">
        <f aca="false">IFERROR('원자료(월별지수)'!BI7/'원자료(월별지수)'!BH7-1,"")</f>
        <v>0.0874906672096654</v>
      </c>
      <c r="BG7" s="12" t="n">
        <f aca="false">IFERROR('원자료(월별지수)'!BJ7/'원자료(월별지수)'!BI7-1,"")</f>
        <v>-0.261328173761079</v>
      </c>
      <c r="BH7" s="12" t="n">
        <f aca="false">IFERROR('원자료(월별지수)'!BK7/'원자료(월별지수)'!BJ7-1,"")</f>
        <v>-0.0285593578369243</v>
      </c>
      <c r="BI7" s="12" t="n">
        <f aca="false">IFERROR('원자료(월별지수)'!BL7/'원자료(월별지수)'!BK7-1,"")</f>
        <v>-0.0290510567974255</v>
      </c>
      <c r="BJ7" s="12" t="n">
        <f aca="false">IFERROR('원자료(월별지수)'!BM7/'원자료(월별지수)'!BL7-1,"")</f>
        <v>-0.148615963450685</v>
      </c>
      <c r="BK7" s="12" t="n">
        <f aca="false">IFERROR('원자료(월별지수)'!BN7/'원자료(월별지수)'!BM7-1,"")</f>
        <v>0.000946969696969502</v>
      </c>
      <c r="BL7" s="12" t="n">
        <f aca="false">IFERROR('원자료(월별지수)'!BO7/'원자료(월별지수)'!BN7-1,"")</f>
        <v>-0.0134552717334174</v>
      </c>
      <c r="BM7" s="12" t="n">
        <f aca="false">IFERROR('원자료(월별지수)'!BP7/'원자료(월별지수)'!BO7-1,"")</f>
        <v>-0.0526371870005328</v>
      </c>
      <c r="BN7" s="12" t="n">
        <f aca="false">IFERROR('원자료(월별지수)'!BQ7/'원자료(월별지수)'!BP7-1,"")</f>
        <v>-0.296817005961084</v>
      </c>
    </row>
    <row r="8" customFormat="false" ht="15" hidden="false" customHeight="false" outlineLevel="0" collapsed="false">
      <c r="A8" s="8" t="s">
        <v>93</v>
      </c>
      <c r="B8" s="9" t="s">
        <v>95</v>
      </c>
      <c r="C8" s="12" t="n">
        <f aca="false">IFERROR('원자료(월별지수)'!F8/'원자료(월별지수)'!E8-1,"")</f>
        <v>-0.132593213238375</v>
      </c>
      <c r="D8" s="12" t="n">
        <f aca="false">IFERROR('원자료(월별지수)'!G8/'원자료(월별지수)'!F8-1,"")</f>
        <v>-0.210456411494808</v>
      </c>
      <c r="E8" s="12" t="n">
        <f aca="false">IFERROR('원자료(월별지수)'!H8/'원자료(월별지수)'!G8-1,"")</f>
        <v>0.123413365958097</v>
      </c>
      <c r="F8" s="12" t="n">
        <f aca="false">IFERROR('원자료(월별지수)'!I8/'원자료(월별지수)'!H8-1,"")</f>
        <v>0.194391505581269</v>
      </c>
      <c r="G8" s="12" t="n">
        <f aca="false">IFERROR('원자료(월별지수)'!J8/'원자료(월별지수)'!I8-1,"")</f>
        <v>0.155801230909505</v>
      </c>
      <c r="H8" s="12" t="n">
        <f aca="false">IFERROR('원자료(월별지수)'!K8/'원자료(월별지수)'!J8-1,"")</f>
        <v>0.76037866088157</v>
      </c>
      <c r="I8" s="12" t="n">
        <f aca="false">IFERROR('원자료(월별지수)'!L8/'원자료(월별지수)'!K8-1,"")</f>
        <v>0.862032265292404</v>
      </c>
      <c r="J8" s="12" t="n">
        <f aca="false">IFERROR('원자료(월별지수)'!M8/'원자료(월별지수)'!L8-1,"")</f>
        <v>-0.370265635811197</v>
      </c>
      <c r="K8" s="12" t="n">
        <f aca="false">IFERROR('원자료(월별지수)'!N8/'원자료(월별지수)'!M8-1,"")</f>
        <v>-0.244255481775188</v>
      </c>
      <c r="L8" s="12" t="n">
        <f aca="false">IFERROR('원자료(월별지수)'!O8/'원자료(월별지수)'!N8-1,"")</f>
        <v>-0.422945638432364</v>
      </c>
      <c r="M8" s="12" t="n">
        <f aca="false">IFERROR('원자료(월별지수)'!P8/'원자료(월별지수)'!O8-1,"")</f>
        <v>-0.252601599298937</v>
      </c>
      <c r="N8" s="12" t="n">
        <f aca="false">IFERROR('원자료(월별지수)'!Q8/'원자료(월별지수)'!P8-1,"")</f>
        <v>0.304264986076506</v>
      </c>
      <c r="O8" s="12" t="n">
        <f aca="false">IFERROR('원자료(월별지수)'!R8/'원자료(월별지수)'!Q8-1,"")</f>
        <v>0.405438813349815</v>
      </c>
      <c r="P8" s="12" t="n">
        <f aca="false">IFERROR('원자료(월별지수)'!S8/'원자료(월별지수)'!R8-1,"")</f>
        <v>-0.223954585432158</v>
      </c>
      <c r="Q8" s="12" t="n">
        <f aca="false">IFERROR('원자료(월별지수)'!T8/'원자료(월별지수)'!S8-1,"")</f>
        <v>-0.185143210385329</v>
      </c>
      <c r="R8" s="12" t="n">
        <f aca="false">IFERROR('원자료(월별지수)'!U8/'원자료(월별지수)'!T8-1,"")</f>
        <v>0.118219749652295</v>
      </c>
      <c r="S8" s="12" t="n">
        <f aca="false">IFERROR('원자료(월별지수)'!V8/'원자료(월별지수)'!U8-1,"")</f>
        <v>0.230777928539123</v>
      </c>
      <c r="T8" s="12" t="n">
        <f aca="false">IFERROR('원자료(월별지수)'!W8/'원자료(월별지수)'!V8-1,"")</f>
        <v>2.03959577400092</v>
      </c>
      <c r="U8" s="12" t="n">
        <f aca="false">IFERROR('원자료(월별지수)'!X8/'원자료(월별지수)'!W8-1,"")</f>
        <v>0.318835761349211</v>
      </c>
      <c r="V8" s="12" t="n">
        <f aca="false">IFERROR('원자료(월별지수)'!Y8/'원자료(월별지수)'!X8-1,"")</f>
        <v>-0.365715595279019</v>
      </c>
      <c r="W8" s="12" t="n">
        <f aca="false">IFERROR('원자료(월별지수)'!Z8/'원자료(월별지수)'!Y8-1,"")</f>
        <v>-0.634281172092351</v>
      </c>
      <c r="X8" s="12" t="n">
        <f aca="false">IFERROR('원자료(월별지수)'!AA8/'원자료(월별지수)'!Z8-1,"")</f>
        <v>-0.437166567871962</v>
      </c>
      <c r="Y8" s="12" t="n">
        <f aca="false">IFERROR('원자료(월별지수)'!AB8/'원자료(월별지수)'!AA8-1,"")</f>
        <v>0.0614358434263647</v>
      </c>
      <c r="Z8" s="12" t="n">
        <f aca="false">IFERROR('원자료(월별지수)'!AC8/'원자료(월별지수)'!AB8-1,"")</f>
        <v>0.466346948900281</v>
      </c>
      <c r="AA8" s="12" t="n">
        <f aca="false">IFERROR('원자료(월별지수)'!AD8/'원자료(월별지수)'!AC8-1,"")</f>
        <v>0.039472200293222</v>
      </c>
      <c r="AB8" s="12" t="n">
        <f aca="false">IFERROR('원자료(월별지수)'!AE8/'원자료(월별지수)'!AD8-1,"")</f>
        <v>-0.172398828252143</v>
      </c>
      <c r="AC8" s="12" t="n">
        <f aca="false">IFERROR('원자료(월별지수)'!AF8/'원자료(월별지수)'!AE8-1,"")</f>
        <v>0.0412952281069743</v>
      </c>
      <c r="AD8" s="12" t="n">
        <f aca="false">IFERROR('원자료(월별지수)'!AG8/'원자료(월별지수)'!AF8-1,"")</f>
        <v>0.231272818834193</v>
      </c>
      <c r="AE8" s="12" t="n">
        <f aca="false">IFERROR('원자료(월별지수)'!AH8/'원자료(월별지수)'!AG8-1,"")</f>
        <v>0.179447852760736</v>
      </c>
      <c r="AF8" s="12" t="n">
        <f aca="false">IFERROR('원자료(월별지수)'!AI8/'원자료(월별지수)'!AH8-1,"")</f>
        <v>1.72509752925878</v>
      </c>
      <c r="AG8" s="12" t="n">
        <f aca="false">IFERROR('원자료(월별지수)'!AJ8/'원자료(월별지수)'!AI8-1,"")</f>
        <v>0.566933893236623</v>
      </c>
      <c r="AH8" s="12" t="n">
        <f aca="false">IFERROR('원자료(월별지수)'!AK8/'원자료(월별지수)'!AJ8-1,"")</f>
        <v>-0.116028829560451</v>
      </c>
      <c r="AI8" s="12" t="n">
        <f aca="false">IFERROR('원자료(월별지수)'!AL8/'원자료(월별지수)'!AK8-1,"")</f>
        <v>-0.732797427652733</v>
      </c>
      <c r="AJ8" s="12" t="n">
        <f aca="false">IFERROR('원자료(월별지수)'!AM8/'원자료(월별지수)'!AL8-1,"")</f>
        <v>-0.334106927969744</v>
      </c>
      <c r="AK8" s="12" t="n">
        <f aca="false">IFERROR('원자료(월별지수)'!AN8/'원자료(월별지수)'!AM8-1,"")</f>
        <v>0.124822511940106</v>
      </c>
      <c r="AL8" s="12" t="n">
        <f aca="false">IFERROR('원자료(월별지수)'!AO8/'원자료(월별지수)'!AN8-1,"")</f>
        <v>0.290681661693826</v>
      </c>
      <c r="AM8" s="12" t="n">
        <f aca="false">IFERROR('원자료(월별지수)'!AP8/'원자료(월별지수)'!AO8-1,"")</f>
        <v>0.0826887169911976</v>
      </c>
      <c r="AN8" s="12" t="n">
        <f aca="false">IFERROR('원자료(월별지수)'!AQ8/'원자료(월별지수)'!AP8-1,"")</f>
        <v>0.0969039993430236</v>
      </c>
      <c r="AO8" s="12" t="n">
        <f aca="false">IFERROR('원자료(월별지수)'!AR8/'원자료(월별지수)'!AQ8-1,"")</f>
        <v>-0.371490604177585</v>
      </c>
      <c r="AP8" s="12" t="n">
        <f aca="false">IFERROR('원자료(월별지수)'!AS8/'원자료(월별지수)'!AR8-1,"")</f>
        <v>-0.0827873734365694</v>
      </c>
      <c r="AQ8" s="12" t="n">
        <f aca="false">IFERROR('원자료(월별지수)'!AT8/'원자료(월별지수)'!AS8-1,"")</f>
        <v>0.258831168831169</v>
      </c>
      <c r="AR8" s="12" t="n">
        <f aca="false">IFERROR('원자료(월별지수)'!AU8/'원자료(월별지수)'!AT8-1,"")</f>
        <v>1.07531208088311</v>
      </c>
      <c r="AS8" s="12" t="n">
        <f aca="false">IFERROR('원자료(월별지수)'!AV8/'원자료(월별지수)'!AU8-1,"")</f>
        <v>1.24448200437463</v>
      </c>
      <c r="AT8" s="12" t="n">
        <f aca="false">IFERROR('원자료(월별지수)'!AW8/'원자료(월별지수)'!AV8-1,"")</f>
        <v>0.262104097452935</v>
      </c>
      <c r="AU8" s="12" t="n">
        <f aca="false">IFERROR('원자료(월별지수)'!AX8/'원자료(월별지수)'!AW8-1,"")</f>
        <v>-0.621437596518321</v>
      </c>
      <c r="AV8" s="12" t="n">
        <f aca="false">IFERROR('원자료(월별지수)'!AY8/'원자료(월별지수)'!AX8-1,"")</f>
        <v>-0.568607454107176</v>
      </c>
      <c r="AW8" s="12" t="n">
        <f aca="false">IFERROR('원자료(월별지수)'!AZ8/'원자료(월별지수)'!AY8-1,"")</f>
        <v>-0.219535783365571</v>
      </c>
      <c r="AX8" s="12" t="n">
        <f aca="false">IFERROR('원자료(월별지수)'!BA8/'원자료(월별지수)'!AZ8-1,"")</f>
        <v>0.452705493597687</v>
      </c>
      <c r="AY8" s="12" t="n">
        <f aca="false">IFERROR('원자료(월별지수)'!BB8/'원자료(월별지수)'!BA8-1,"")</f>
        <v>0.0826461946734907</v>
      </c>
      <c r="AZ8" s="12" t="n">
        <f aca="false">IFERROR('원자료(월별지수)'!BC8/'원자료(월별지수)'!BB8-1,"")</f>
        <v>-0.222358399719864</v>
      </c>
      <c r="BA8" s="12" t="n">
        <f aca="false">IFERROR('원자료(월별지수)'!BD8/'원자료(월별지수)'!BC8-1,"")</f>
        <v>-0.306090284813689</v>
      </c>
      <c r="BB8" s="12" t="n">
        <f aca="false">IFERROR('원자료(월별지수)'!BE8/'원자료(월별지수)'!BD8-1,"")</f>
        <v>0.2074951330305</v>
      </c>
      <c r="BC8" s="12" t="n">
        <f aca="false">IFERROR('원자료(월별지수)'!BF8/'원자료(월별지수)'!BE8-1,"")</f>
        <v>0.43490528012898</v>
      </c>
      <c r="BD8" s="12" t="n">
        <f aca="false">IFERROR('원자료(월별지수)'!BG8/'원자료(월별지수)'!BF8-1,"")</f>
        <v>1.71591760299625</v>
      </c>
      <c r="BE8" s="12" t="n">
        <f aca="false">IFERROR('원자료(월별지수)'!BH8/'원자료(월별지수)'!BG8-1,"")</f>
        <v>0.307143349651796</v>
      </c>
      <c r="BF8" s="12" t="n">
        <f aca="false">IFERROR('원자료(월별지수)'!BI8/'원자료(월별지수)'!BH8-1,"")</f>
        <v>0.0257945404193591</v>
      </c>
      <c r="BG8" s="12" t="n">
        <f aca="false">IFERROR('원자료(월별지수)'!BJ8/'원자료(월별지수)'!BI8-1,"")</f>
        <v>-0.475381173990178</v>
      </c>
      <c r="BH8" s="12" t="n">
        <f aca="false">IFERROR('원자료(월별지수)'!BK8/'원자료(월별지수)'!BJ8-1,"")</f>
        <v>-0.337580866496765</v>
      </c>
      <c r="BI8" s="12" t="n">
        <f aca="false">IFERROR('원자료(월별지수)'!BL8/'원자료(월별지수)'!BK8-1,"")</f>
        <v>-0.338857650192365</v>
      </c>
      <c r="BJ8" s="12" t="n">
        <f aca="false">IFERROR('원자료(월별지수)'!BM8/'원자료(월별지수)'!BL8-1,"")</f>
        <v>0.138205013428827</v>
      </c>
      <c r="BK8" s="12" t="n">
        <f aca="false">IFERROR('원자료(월별지수)'!BN8/'원자료(월별지수)'!BM8-1,"")</f>
        <v>0.0194671123783305</v>
      </c>
      <c r="BL8" s="12" t="n">
        <f aca="false">IFERROR('원자료(월별지수)'!BO8/'원자료(월별지수)'!BN8-1,"")</f>
        <v>-0.414794097791494</v>
      </c>
      <c r="BM8" s="12" t="n">
        <f aca="false">IFERROR('원자료(월별지수)'!BP8/'원자료(월별지수)'!BO8-1,"")</f>
        <v>0.0802570863546472</v>
      </c>
      <c r="BN8" s="12" t="n">
        <f aca="false">IFERROR('원자료(월별지수)'!BQ8/'원자료(월별지수)'!BP8-1,"")</f>
        <v>0.0918382913806255</v>
      </c>
    </row>
    <row r="9" customFormat="false" ht="15" hidden="false" customHeight="false" outlineLevel="0" collapsed="false">
      <c r="A9" s="8" t="s">
        <v>93</v>
      </c>
      <c r="B9" s="9" t="s">
        <v>96</v>
      </c>
      <c r="C9" s="12" t="n">
        <f aca="false">IFERROR('원자료(월별지수)'!F9/'원자료(월별지수)'!E9-1,"")</f>
        <v>-0.380274340241539</v>
      </c>
      <c r="D9" s="12" t="n">
        <f aca="false">IFERROR('원자료(월별지수)'!G9/'원자료(월별지수)'!F9-1,"")</f>
        <v>-0.226873571514495</v>
      </c>
      <c r="E9" s="12" t="n">
        <f aca="false">IFERROR('원자료(월별지수)'!H9/'원자료(월별지수)'!G9-1,"")</f>
        <v>0.146724754940097</v>
      </c>
      <c r="F9" s="12" t="n">
        <f aca="false">IFERROR('원자료(월별지수)'!I9/'원자료(월별지수)'!H9-1,"")</f>
        <v>0.15033921302578</v>
      </c>
      <c r="G9" s="12" t="n">
        <f aca="false">IFERROR('원자료(월별지수)'!J9/'원자료(월별지수)'!I9-1,"")</f>
        <v>0.279782967681057</v>
      </c>
      <c r="H9" s="12" t="n">
        <f aca="false">IFERROR('원자료(월별지수)'!K9/'원자료(월별지수)'!J9-1,"")</f>
        <v>0.511428571428572</v>
      </c>
      <c r="I9" s="12" t="n">
        <f aca="false">IFERROR('원자료(월별지수)'!L9/'원자료(월별지수)'!K9-1,"")</f>
        <v>0.276907128483444</v>
      </c>
      <c r="J9" s="12" t="n">
        <f aca="false">IFERROR('원자료(월별지수)'!M9/'원자료(월별지수)'!L9-1,"")</f>
        <v>0.343505253104107</v>
      </c>
      <c r="K9" s="12" t="n">
        <f aca="false">IFERROR('원자료(월별지수)'!N9/'원자료(월별지수)'!M9-1,"")</f>
        <v>-0.224114029787083</v>
      </c>
      <c r="L9" s="12" t="n">
        <f aca="false">IFERROR('원자료(월별지수)'!O9/'원자료(월별지수)'!N9-1,"")</f>
        <v>-0.60532343778633</v>
      </c>
      <c r="M9" s="12" t="n">
        <f aca="false">IFERROR('원자료(월별지수)'!P9/'원자료(월별지수)'!O9-1,"")</f>
        <v>-0.0437608821822404</v>
      </c>
      <c r="N9" s="12" t="n">
        <f aca="false">IFERROR('원자료(월별지수)'!Q9/'원자료(월별지수)'!P9-1,"")</f>
        <v>0.446710366593834</v>
      </c>
      <c r="O9" s="12" t="n">
        <f aca="false">IFERROR('원자료(월별지수)'!R9/'원자료(월별지수)'!Q9-1,"")</f>
        <v>-0.371119315321363</v>
      </c>
      <c r="P9" s="12" t="n">
        <f aca="false">IFERROR('원자료(월별지수)'!S9/'원자료(월별지수)'!R9-1,"")</f>
        <v>-0.028552368245497</v>
      </c>
      <c r="Q9" s="12" t="n">
        <f aca="false">IFERROR('원자료(월별지수)'!T9/'원자료(월별지수)'!S9-1,"")</f>
        <v>0.166460651009477</v>
      </c>
      <c r="R9" s="12" t="n">
        <f aca="false">IFERROR('원자료(월별지수)'!U9/'원자료(월별지수)'!T9-1,"")</f>
        <v>-0.1057341339927</v>
      </c>
      <c r="S9" s="12" t="n">
        <f aca="false">IFERROR('원자료(월별지수)'!V9/'원자료(월별지수)'!U9-1,"")</f>
        <v>0.65687952600395</v>
      </c>
      <c r="T9" s="12" t="n">
        <f aca="false">IFERROR('원자료(월별지수)'!W9/'원자료(월별지수)'!V9-1,"")</f>
        <v>1.46582962492053</v>
      </c>
      <c r="U9" s="12" t="n">
        <f aca="false">IFERROR('원자료(월별지수)'!X9/'원자료(월별지수)'!W9-1,"")</f>
        <v>-0.0959071865936191</v>
      </c>
      <c r="V9" s="12" t="n">
        <f aca="false">IFERROR('원자료(월별지수)'!Y9/'원자료(월별지수)'!X9-1,"")</f>
        <v>-0.431132815284808</v>
      </c>
      <c r="W9" s="12" t="n">
        <f aca="false">IFERROR('원자료(월별지수)'!Z9/'원자료(월별지수)'!Y9-1,"")</f>
        <v>-0.441569020615327</v>
      </c>
      <c r="X9" s="12" t="n">
        <f aca="false">IFERROR('원자료(월별지수)'!AA9/'원자료(월별지수)'!Z9-1,"")</f>
        <v>-0.377019748653501</v>
      </c>
      <c r="Y9" s="12" t="n">
        <f aca="false">IFERROR('원자료(월별지수)'!AB9/'원자료(월별지수)'!AA9-1,"")</f>
        <v>1.17345100864553</v>
      </c>
      <c r="Z9" s="12" t="n">
        <f aca="false">IFERROR('원자료(월별지수)'!AC9/'원자료(월별지수)'!AB9-1,"")</f>
        <v>0.307532941078976</v>
      </c>
      <c r="AA9" s="12" t="n">
        <f aca="false">IFERROR('원자료(월별지수)'!AD9/'원자료(월별지수)'!AC9-1,"")</f>
        <v>-0.355114716694131</v>
      </c>
      <c r="AB9" s="12" t="n">
        <f aca="false">IFERROR('원자료(월별지수)'!AE9/'원자료(월별지수)'!AD9-1,"")</f>
        <v>-0.143980343980344</v>
      </c>
      <c r="AC9" s="12" t="n">
        <f aca="false">IFERROR('원자료(월별지수)'!AF9/'원자료(월별지수)'!AE9-1,"")</f>
        <v>-0.115958668197474</v>
      </c>
      <c r="AD9" s="12" t="n">
        <f aca="false">IFERROR('원자료(월별지수)'!AG9/'원자료(월별지수)'!AF9-1,"")</f>
        <v>-0.0483116883116883</v>
      </c>
      <c r="AE9" s="12" t="n">
        <f aca="false">IFERROR('원자료(월별지수)'!AH9/'원자료(월별지수)'!AG9-1,"")</f>
        <v>0.482805676855895</v>
      </c>
      <c r="AF9" s="12" t="n">
        <f aca="false">IFERROR('원자료(월별지수)'!AI9/'원자료(월별지수)'!AH9-1,"")</f>
        <v>1.97312718571692</v>
      </c>
      <c r="AG9" s="12" t="n">
        <f aca="false">IFERROR('원자료(월별지수)'!AJ9/'원자료(월별지수)'!AI9-1,"")</f>
        <v>-0.295022596421717</v>
      </c>
      <c r="AH9" s="12" t="n">
        <f aca="false">IFERROR('원자료(월별지수)'!AK9/'원자료(월별지수)'!AJ9-1,"")</f>
        <v>-0.0782436882546652</v>
      </c>
      <c r="AI9" s="12" t="n">
        <f aca="false">IFERROR('원자료(월별지수)'!AL9/'원자료(월별지수)'!AK9-1,"")</f>
        <v>-0.275186967084266</v>
      </c>
      <c r="AJ9" s="12" t="n">
        <f aca="false">IFERROR('원자료(월별지수)'!AM9/'원자료(월별지수)'!AL9-1,"")</f>
        <v>-0.31782334384858</v>
      </c>
      <c r="AK9" s="12" t="n">
        <f aca="false">IFERROR('원자료(월별지수)'!AN9/'원자료(월별지수)'!AM9-1,"")</f>
        <v>-0.215992292870906</v>
      </c>
      <c r="AL9" s="12" t="n">
        <f aca="false">IFERROR('원자료(월별지수)'!AO9/'원자료(월별지수)'!AN9-1,"")</f>
        <v>0.535266650282625</v>
      </c>
      <c r="AM9" s="12" t="n">
        <f aca="false">IFERROR('원자료(월별지수)'!AP9/'원자료(월별지수)'!AO9-1,"")</f>
        <v>-0.315911637586041</v>
      </c>
      <c r="AN9" s="12" t="n">
        <f aca="false">IFERROR('원자료(월별지수)'!AQ9/'원자료(월별지수)'!AP9-1,"")</f>
        <v>0.160641160641161</v>
      </c>
      <c r="AO9" s="12" t="n">
        <f aca="false">IFERROR('원자료(월별지수)'!AR9/'원자료(월별지수)'!AQ9-1,"")</f>
        <v>-0.306854838709677</v>
      </c>
      <c r="AP9" s="12" t="n">
        <f aca="false">IFERROR('원자료(월별지수)'!AS9/'원자료(월별지수)'!AR9-1,"")</f>
        <v>0.0580279232111691</v>
      </c>
      <c r="AQ9" s="12" t="n">
        <f aca="false">IFERROR('원자료(월별지수)'!AT9/'원자료(월별지수)'!AS9-1,"")</f>
        <v>0.152852233676976</v>
      </c>
      <c r="AR9" s="12" t="n">
        <f aca="false">IFERROR('원자료(월별지수)'!AU9/'원자료(월별지수)'!AT9-1,"")</f>
        <v>1.71431978061285</v>
      </c>
      <c r="AS9" s="12" t="n">
        <f aca="false">IFERROR('원자료(월별지수)'!AV9/'원자료(월별지수)'!AU9-1,"")</f>
        <v>0.134548649242258</v>
      </c>
      <c r="AT9" s="12" t="n">
        <f aca="false">IFERROR('원자료(월별지수)'!AW9/'원자료(월별지수)'!AV9-1,"")</f>
        <v>0.446918073408704</v>
      </c>
      <c r="AU9" s="12" t="n">
        <f aca="false">IFERROR('원자료(월별지수)'!AX9/'원자료(월별지수)'!AW9-1,"")</f>
        <v>-0.25902437719087</v>
      </c>
      <c r="AV9" s="12" t="n">
        <f aca="false">IFERROR('원자료(월별지수)'!AY9/'원자료(월별지수)'!AX9-1,"")</f>
        <v>-0.640713589252826</v>
      </c>
      <c r="AW9" s="12" t="n">
        <f aca="false">IFERROR('원자료(월별지수)'!AZ9/'원자료(월별지수)'!AY9-1,"")</f>
        <v>-0.325459845210574</v>
      </c>
      <c r="AX9" s="12" t="n">
        <f aca="false">IFERROR('원자료(월별지수)'!BA9/'원자료(월별지수)'!AZ9-1,"")</f>
        <v>0.131575026076591</v>
      </c>
      <c r="AY9" s="12" t="n">
        <f aca="false">IFERROR('원자료(월별지수)'!BB9/'원자료(월별지수)'!BA9-1,"")</f>
        <v>-0.0628127469054516</v>
      </c>
      <c r="AZ9" s="12" t="n">
        <f aca="false">IFERROR('원자료(월별지수)'!BC9/'원자료(월별지수)'!BB9-1,"")</f>
        <v>-0.0844456934101447</v>
      </c>
      <c r="BA9" s="12" t="n">
        <f aca="false">IFERROR('원자료(월별지수)'!BD9/'원자료(월별지수)'!BC9-1,"")</f>
        <v>0.0075199508901167</v>
      </c>
      <c r="BB9" s="12" t="n">
        <f aca="false">IFERROR('원자료(월별지수)'!BE9/'원자료(월별지수)'!BD9-1,"")</f>
        <v>0.262300076161462</v>
      </c>
      <c r="BC9" s="12" t="n">
        <f aca="false">IFERROR('원자료(월별지수)'!BF9/'원자료(월별지수)'!BE9-1,"")</f>
        <v>0.116085435018704</v>
      </c>
      <c r="BD9" s="12" t="n">
        <f aca="false">IFERROR('원자료(월별지수)'!BG9/'원자료(월별지수)'!BF9-1,"")</f>
        <v>0.701913720402206</v>
      </c>
      <c r="BE9" s="12" t="n">
        <f aca="false">IFERROR('원자료(월별지수)'!BH9/'원자료(월별지수)'!BG9-1,"")</f>
        <v>0.151515151515151</v>
      </c>
      <c r="BF9" s="12" t="n">
        <f aca="false">IFERROR('원자료(월별지수)'!BI9/'원자료(월별지수)'!BH9-1,"")</f>
        <v>0.388723380778992</v>
      </c>
      <c r="BG9" s="12" t="n">
        <f aca="false">IFERROR('원자료(월별지수)'!BJ9/'원자료(월별지수)'!BI9-1,"")</f>
        <v>-0.0983632607659304</v>
      </c>
      <c r="BH9" s="12" t="n">
        <f aca="false">IFERROR('원자료(월별지수)'!BK9/'원자료(월별지수)'!BJ9-1,"")</f>
        <v>-0.427035600986958</v>
      </c>
      <c r="BI9" s="12" t="n">
        <f aca="false">IFERROR('원자료(월별지수)'!BL9/'원자료(월별지수)'!BK9-1,"")</f>
        <v>-0.325745924330975</v>
      </c>
      <c r="BJ9" s="12" t="n">
        <f aca="false">IFERROR('원자료(월별지수)'!BM9/'원자료(월별지수)'!BL9-1,"")</f>
        <v>0.66526003649635</v>
      </c>
      <c r="BK9" s="12" t="n">
        <f aca="false">IFERROR('원자료(월별지수)'!BN9/'원자료(월별지수)'!BM9-1,"")</f>
        <v>-0.384905143483323</v>
      </c>
      <c r="BL9" s="12" t="n">
        <f aca="false">IFERROR('원자료(월별지수)'!BO9/'원자료(월별지수)'!BN9-1,"")</f>
        <v>-0.360650261663512</v>
      </c>
      <c r="BM9" s="12" t="n">
        <f aca="false">IFERROR('원자료(월별지수)'!BP9/'원자료(월별지수)'!BO9-1,"")</f>
        <v>0.134273772204807</v>
      </c>
      <c r="BN9" s="12" t="n">
        <f aca="false">IFERROR('원자료(월별지수)'!BQ9/'원자료(월별지수)'!BP9-1,"")</f>
        <v>0.187471211423307</v>
      </c>
    </row>
    <row r="10" customFormat="false" ht="15" hidden="false" customHeight="false" outlineLevel="0" collapsed="false">
      <c r="A10" s="8" t="s">
        <v>93</v>
      </c>
      <c r="B10" s="9" t="s">
        <v>97</v>
      </c>
      <c r="C10" s="12" t="n">
        <f aca="false">IFERROR('원자료(월별지수)'!F10/'원자료(월별지수)'!E10-1,"")</f>
        <v>-0.230931437522593</v>
      </c>
      <c r="D10" s="12" t="n">
        <f aca="false">IFERROR('원자료(월별지수)'!G10/'원자료(월별지수)'!F10-1,"")</f>
        <v>-0.318918918918919</v>
      </c>
      <c r="E10" s="12" t="n">
        <f aca="false">IFERROR('원자료(월별지수)'!H10/'원자료(월별지수)'!G10-1,"")</f>
        <v>-0.253163100989188</v>
      </c>
      <c r="F10" s="12" t="n">
        <f aca="false">IFERROR('원자료(월별지수)'!I10/'원자료(월별지수)'!H10-1,"")</f>
        <v>-0.179578007084553</v>
      </c>
      <c r="G10" s="12" t="n">
        <f aca="false">IFERROR('원자료(월별지수)'!J10/'원자료(월별지수)'!I10-1,"")</f>
        <v>-0.0749014454664915</v>
      </c>
      <c r="H10" s="12" t="n">
        <f aca="false">IFERROR('원자료(월별지수)'!K10/'원자료(월별지수)'!J10-1,"")</f>
        <v>0.254058441558442</v>
      </c>
      <c r="I10" s="12" t="n">
        <f aca="false">IFERROR('원자료(월별지수)'!L10/'원자료(월별지수)'!K10-1,"")</f>
        <v>0.477831715210356</v>
      </c>
      <c r="J10" s="12" t="n">
        <f aca="false">IFERROR('원자료(월별지수)'!M10/'원자료(월별지수)'!L10-1,"")</f>
        <v>0.189094492499726</v>
      </c>
      <c r="K10" s="12" t="n">
        <f aca="false">IFERROR('원자료(월별지수)'!N10/'원자료(월별지수)'!M10-1,"")</f>
        <v>0.0151012891344384</v>
      </c>
      <c r="L10" s="12" t="n">
        <f aca="false">IFERROR('원자료(월별지수)'!O10/'원자료(월별지수)'!N10-1,"")</f>
        <v>0.664822206095791</v>
      </c>
      <c r="M10" s="12" t="n">
        <f aca="false">IFERROR('원자료(월별지수)'!P10/'원자료(월별지수)'!O10-1,"")</f>
        <v>-0.144063640821664</v>
      </c>
      <c r="N10" s="12" t="n">
        <f aca="false">IFERROR('원자료(월별지수)'!Q10/'원자료(월별지수)'!P10-1,"")</f>
        <v>0.0276911324718314</v>
      </c>
      <c r="O10" s="12" t="n">
        <f aca="false">IFERROR('원자료(월별지수)'!R10/'원자료(월별지수)'!Q10-1,"")</f>
        <v>-0.179447472745292</v>
      </c>
      <c r="P10" s="12" t="n">
        <f aca="false">IFERROR('원자료(월별지수)'!S10/'원자료(월별지수)'!R10-1,"")</f>
        <v>-0.0612968974107345</v>
      </c>
      <c r="Q10" s="12" t="n">
        <f aca="false">IFERROR('원자료(월별지수)'!T10/'원자료(월별지수)'!S10-1,"")</f>
        <v>-0.0902291917973462</v>
      </c>
      <c r="R10" s="12" t="n">
        <f aca="false">IFERROR('원자료(월별지수)'!U10/'원자료(월별지수)'!T10-1,"")</f>
        <v>-0.404313621497392</v>
      </c>
      <c r="S10" s="12" t="n">
        <f aca="false">IFERROR('원자료(월별지수)'!V10/'원자료(월별지수)'!U10-1,"")</f>
        <v>-0.149280308651135</v>
      </c>
      <c r="T10" s="12" t="n">
        <f aca="false">IFERROR('원자료(월별지수)'!W10/'원자료(월별지수)'!V10-1,"")</f>
        <v>0.856096284667713</v>
      </c>
      <c r="U10" s="12" t="n">
        <f aca="false">IFERROR('원자료(월별지수)'!X10/'원자료(월별지수)'!W10-1,"")</f>
        <v>0.253453622779814</v>
      </c>
      <c r="V10" s="12" t="n">
        <f aca="false">IFERROR('원자료(월별지수)'!Y10/'원자료(월별지수)'!X10-1,"")</f>
        <v>-0.186159844054581</v>
      </c>
      <c r="W10" s="12" t="n">
        <f aca="false">IFERROR('원자료(월별지수)'!Z10/'원자료(월별지수)'!Y10-1,"")</f>
        <v>0.134223859972363</v>
      </c>
      <c r="X10" s="12" t="n">
        <f aca="false">IFERROR('원자료(월별지수)'!AA10/'원자료(월별지수)'!Z10-1,"")</f>
        <v>0.146117608836907</v>
      </c>
      <c r="Y10" s="12" t="n">
        <f aca="false">IFERROR('원자료(월별지수)'!AB10/'원자료(월별지수)'!AA10-1,"")</f>
        <v>0.0727092339309758</v>
      </c>
      <c r="Z10" s="12" t="n">
        <f aca="false">IFERROR('원자료(월별지수)'!AC10/'원자료(월별지수)'!AB10-1,"")</f>
        <v>0.715993922177446</v>
      </c>
      <c r="AA10" s="12" t="n">
        <f aca="false">IFERROR('원자료(월별지수)'!AD10/'원자료(월별지수)'!AC10-1,"")</f>
        <v>-0.2688354186718</v>
      </c>
      <c r="AB10" s="12" t="n">
        <f aca="false">IFERROR('원자료(월별지수)'!AE10/'원자료(월별지수)'!AD10-1,"")</f>
        <v>-0.331929233361415</v>
      </c>
      <c r="AC10" s="12" t="n">
        <f aca="false">IFERROR('원자료(월별지수)'!AF10/'원자료(월별지수)'!AE10-1,"")</f>
        <v>-0.240069356872636</v>
      </c>
      <c r="AD10" s="12" t="n">
        <f aca="false">IFERROR('원자료(월별지수)'!AG10/'원자료(월별지수)'!AF10-1,"")</f>
        <v>-0.19466915577681</v>
      </c>
      <c r="AE10" s="12" t="n">
        <f aca="false">IFERROR('원자료(월별지수)'!AH10/'원자료(월별지수)'!AG10-1,"")</f>
        <v>-0.327108821635544</v>
      </c>
      <c r="AF10" s="12" t="n">
        <f aca="false">IFERROR('원자료(월별지수)'!AI10/'원자료(월별지수)'!AH10-1,"")</f>
        <v>0.465263157894737</v>
      </c>
      <c r="AG10" s="12" t="n">
        <f aca="false">IFERROR('원자료(월별지수)'!AJ10/'원자료(월별지수)'!AI10-1,"")</f>
        <v>0.943312434691745</v>
      </c>
      <c r="AH10" s="12" t="n">
        <f aca="false">IFERROR('원자료(월별지수)'!AK10/'원자료(월별지수)'!AJ10-1,"")</f>
        <v>-0.435206344938836</v>
      </c>
      <c r="AI10" s="12" t="n">
        <f aca="false">IFERROR('원자료(월별지수)'!AL10/'원자료(월별지수)'!AK10-1,"")</f>
        <v>0.527906699988099</v>
      </c>
      <c r="AJ10" s="12" t="n">
        <f aca="false">IFERROR('원자료(월별지수)'!AM10/'원자료(월별지수)'!AL10-1,"")</f>
        <v>0.374717657138407</v>
      </c>
      <c r="AK10" s="12" t="n">
        <f aca="false">IFERROR('원자료(월별지수)'!AN10/'원자료(월별지수)'!AM10-1,"")</f>
        <v>0.203399433427762</v>
      </c>
      <c r="AL10" s="12" t="n">
        <f aca="false">IFERROR('원자료(월별지수)'!AO10/'원자료(월별지수)'!AN10-1,"")</f>
        <v>-0.083286252354049</v>
      </c>
      <c r="AM10" s="12" t="n">
        <f aca="false">IFERROR('원자료(월별지수)'!AP10/'원자료(월별지수)'!AO10-1,"")</f>
        <v>0.0740588567613374</v>
      </c>
      <c r="AN10" s="12" t="n">
        <f aca="false">IFERROR('원자료(월별지수)'!AQ10/'원자료(월별지수)'!AP10-1,"")</f>
        <v>0.0199875675417205</v>
      </c>
      <c r="AO10" s="12" t="n">
        <f aca="false">IFERROR('원자료(월별지수)'!AR10/'원자료(월별지수)'!AQ10-1,"")</f>
        <v>-0.55421686746988</v>
      </c>
      <c r="AP10" s="12" t="n">
        <f aca="false">IFERROR('원자료(월별지수)'!AS10/'원자료(월별지수)'!AR10-1,"")</f>
        <v>-0.335892312546009</v>
      </c>
      <c r="AQ10" s="12" t="n">
        <f aca="false">IFERROR('원자료(월별지수)'!AT10/'원자료(월별지수)'!AS10-1,"")</f>
        <v>-0.177672209026128</v>
      </c>
      <c r="AR10" s="12" t="n">
        <f aca="false">IFERROR('원자료(월별지수)'!AU10/'원자료(월별지수)'!AT10-1,"")</f>
        <v>0.0883882149046795</v>
      </c>
      <c r="AS10" s="12" t="n">
        <f aca="false">IFERROR('원자료(월별지수)'!AV10/'원자료(월별지수)'!AU10-1,"")</f>
        <v>1.72859164897381</v>
      </c>
      <c r="AT10" s="12" t="n">
        <f aca="false">IFERROR('원자료(월별지수)'!AW10/'원자료(월별지수)'!AV10-1,"")</f>
        <v>-0.321034885228894</v>
      </c>
      <c r="AU10" s="12" t="n">
        <f aca="false">IFERROR('원자료(월별지수)'!AX10/'원자료(월별지수)'!AW10-1,"")</f>
        <v>0.014229777480661</v>
      </c>
      <c r="AV10" s="12" t="n">
        <f aca="false">IFERROR('원자료(월별지수)'!AY10/'원자료(월별지수)'!AX10-1,"")</f>
        <v>0.755555555555556</v>
      </c>
      <c r="AW10" s="12" t="n">
        <f aca="false">IFERROR('원자료(월별지수)'!AZ10/'원자료(월별지수)'!AY10-1,"")</f>
        <v>0.229242651791461</v>
      </c>
      <c r="AX10" s="12" t="n">
        <f aca="false">IFERROR('원자료(월별지수)'!BA10/'원자료(월별지수)'!AZ10-1,"")</f>
        <v>-0.0651889344619949</v>
      </c>
      <c r="AY10" s="12" t="n">
        <f aca="false">IFERROR('원자료(월별지수)'!BB10/'원자료(월별지수)'!BA10-1,"")</f>
        <v>-0.0167102315160568</v>
      </c>
      <c r="AZ10" s="12" t="n">
        <f aca="false">IFERROR('원자료(월별지수)'!BC10/'원자료(월별지수)'!BB10-1,"")</f>
        <v>-0.230750973132061</v>
      </c>
      <c r="BA10" s="12" t="n">
        <f aca="false">IFERROR('원자료(월별지수)'!BD10/'원자료(월별지수)'!BC10-1,"")</f>
        <v>-0.430916383832151</v>
      </c>
      <c r="BB10" s="12" t="n">
        <f aca="false">IFERROR('원자료(월별지수)'!BE10/'원자료(월별지수)'!BD10-1,"")</f>
        <v>-0.254933853827803</v>
      </c>
      <c r="BC10" s="12" t="n">
        <f aca="false">IFERROR('원자료(월별지수)'!BF10/'원자료(월별지수)'!BE10-1,"")</f>
        <v>-0.309853005384951</v>
      </c>
      <c r="BD10" s="12" t="n">
        <f aca="false">IFERROR('원자료(월별지수)'!BG10/'원자료(월별지수)'!BF10-1,"")</f>
        <v>0.628215942640236</v>
      </c>
      <c r="BE10" s="12" t="n">
        <f aca="false">IFERROR('원자료(월별지수)'!BH10/'원자료(월별지수)'!BG10-1,"")</f>
        <v>0.296205154772698</v>
      </c>
      <c r="BF10" s="12" t="n">
        <f aca="false">IFERROR('원자료(월별지수)'!BI10/'원자료(월별지수)'!BH10-1,"")</f>
        <v>-0.173061550759392</v>
      </c>
      <c r="BG10" s="12" t="n">
        <f aca="false">IFERROR('원자료(월별지수)'!BJ10/'원자료(월별지수)'!BI10-1,"")</f>
        <v>0.541565973900435</v>
      </c>
      <c r="BH10" s="12" t="n">
        <f aca="false">IFERROR('원자료(월별지수)'!BK10/'원자료(월별지수)'!BJ10-1,"")</f>
        <v>0.944740554945917</v>
      </c>
      <c r="BI10" s="12" t="n">
        <f aca="false">IFERROR('원자료(월별지수)'!BL10/'원자료(월별지수)'!BK10-1,"")</f>
        <v>-0.377534158236266</v>
      </c>
      <c r="BJ10" s="12" t="n">
        <f aca="false">IFERROR('원자료(월별지수)'!BM10/'원자료(월별지수)'!BL10-1,"")</f>
        <v>-0.177868427868428</v>
      </c>
      <c r="BK10" s="12" t="n">
        <f aca="false">IFERROR('원자료(월별지수)'!BN10/'원자료(월별지수)'!BM10-1,"")</f>
        <v>0.354808222414744</v>
      </c>
      <c r="BL10" s="12" t="n">
        <f aca="false">IFERROR('원자료(월별지수)'!BO10/'원자료(월별지수)'!BN10-1,"")</f>
        <v>-0.331473084525055</v>
      </c>
      <c r="BM10" s="12" t="n">
        <f aca="false">IFERROR('원자료(월별지수)'!BP10/'원자료(월별지수)'!BO10-1,"")</f>
        <v>-0.357826086956522</v>
      </c>
      <c r="BN10" s="12" t="n">
        <f aca="false">IFERROR('원자료(월별지수)'!BQ10/'원자료(월별지수)'!BP10-1,"")</f>
        <v>-0.394583615436696</v>
      </c>
    </row>
    <row r="11" customFormat="false" ht="15" hidden="false" customHeight="false" outlineLevel="0" collapsed="false">
      <c r="A11" s="8" t="s">
        <v>93</v>
      </c>
      <c r="B11" s="9" t="s">
        <v>98</v>
      </c>
      <c r="C11" s="12" t="n">
        <f aca="false">IFERROR('원자료(월별지수)'!F11/'원자료(월별지수)'!E11-1,"")</f>
        <v>0.761350407450524</v>
      </c>
      <c r="D11" s="12" t="n">
        <f aca="false">IFERROR('원자료(월별지수)'!G11/'원자료(월별지수)'!F11-1,"")</f>
        <v>0.61123595505618</v>
      </c>
      <c r="E11" s="12" t="n">
        <f aca="false">IFERROR('원자료(월별지수)'!H11/'원자료(월별지수)'!G11-1,"")</f>
        <v>-0.0957420625153828</v>
      </c>
      <c r="F11" s="12" t="n">
        <f aca="false">IFERROR('원자료(월별지수)'!I11/'원자료(월별지수)'!H11-1,"")</f>
        <v>-0.0642351660315732</v>
      </c>
      <c r="G11" s="12" t="n">
        <f aca="false">IFERROR('원자료(월별지수)'!J11/'원자료(월별지수)'!I11-1,"")</f>
        <v>-0.142621679270894</v>
      </c>
      <c r="H11" s="12" t="n">
        <f aca="false">IFERROR('원자료(월별지수)'!K11/'원자료(월별지수)'!J11-1,"")</f>
        <v>0.400542802216442</v>
      </c>
      <c r="I11" s="12" t="n">
        <f aca="false">IFERROR('원자료(월별지수)'!L11/'원자료(월별지수)'!K11-1,"")</f>
        <v>-0.0604763827210335</v>
      </c>
      <c r="J11" s="12" t="n">
        <f aca="false">IFERROR('원자료(월별지수)'!M11/'원자료(월별지수)'!L11-1,"")</f>
        <v>-0.312134754211069</v>
      </c>
      <c r="K11" s="12" t="n">
        <f aca="false">IFERROR('원자료(월별지수)'!N11/'원자료(월별지수)'!M11-1,"")</f>
        <v>-0.214392803598201</v>
      </c>
      <c r="L11" s="12" t="n">
        <f aca="false">IFERROR('원자료(월별지수)'!O11/'원자료(월별지수)'!N11-1,"")</f>
        <v>0.461513994910941</v>
      </c>
      <c r="M11" s="12" t="n">
        <f aca="false">IFERROR('원자료(월별지수)'!P11/'원자료(월별지수)'!O11-1,"")</f>
        <v>0.161915125136017</v>
      </c>
      <c r="N11" s="12" t="n">
        <f aca="false">IFERROR('원자료(월별지수)'!Q11/'원자료(월별지수)'!P11-1,"")</f>
        <v>-0.0596553661734408</v>
      </c>
      <c r="O11" s="12" t="n">
        <f aca="false">IFERROR('원자료(월별지수)'!R11/'원자료(월별지수)'!Q11-1,"")</f>
        <v>0.105168807887661</v>
      </c>
      <c r="P11" s="12" t="n">
        <f aca="false">IFERROR('원자료(월별지수)'!S11/'원자료(월별지수)'!R11-1,"")</f>
        <v>0.02676399026764</v>
      </c>
      <c r="Q11" s="12" t="n">
        <f aca="false">IFERROR('원자료(월별지수)'!T11/'원자료(월별지수)'!S11-1,"")</f>
        <v>0.0294892048446551</v>
      </c>
      <c r="R11" s="12" t="n">
        <f aca="false">IFERROR('원자료(월별지수)'!U11/'원자료(월별지수)'!T11-1,"")</f>
        <v>0.19769820971867</v>
      </c>
      <c r="S11" s="12" t="n">
        <f aca="false">IFERROR('원자료(월별지수)'!V11/'원자료(월별지수)'!U11-1,"")</f>
        <v>-0.194035162645028</v>
      </c>
      <c r="T11" s="12" t="n">
        <f aca="false">IFERROR('원자료(월별지수)'!W11/'원자료(월별지수)'!V11-1,"")</f>
        <v>0.340369160116577</v>
      </c>
      <c r="U11" s="12" t="n">
        <f aca="false">IFERROR('원자료(월별지수)'!X11/'원자료(월별지수)'!W11-1,"")</f>
        <v>0.0757066613955326</v>
      </c>
      <c r="V11" s="12" t="n">
        <f aca="false">IFERROR('원자료(월별지수)'!Y11/'원자료(월별지수)'!X11-1,"")</f>
        <v>-0.316244027930908</v>
      </c>
      <c r="W11" s="12" t="n">
        <f aca="false">IFERROR('원자료(월별지수)'!Z11/'원자료(월별지수)'!Y11-1,"")</f>
        <v>-0.13069963271522</v>
      </c>
      <c r="X11" s="12" t="n">
        <f aca="false">IFERROR('원자료(월별지수)'!AA11/'원자료(월별지수)'!Z11-1,"")</f>
        <v>0.0615210222588622</v>
      </c>
      <c r="Y11" s="12" t="n">
        <f aca="false">IFERROR('원자료(월별지수)'!AB11/'원자료(월별지수)'!AA11-1,"")</f>
        <v>0.0784389865061643</v>
      </c>
      <c r="Z11" s="12" t="n">
        <f aca="false">IFERROR('원자료(월별지수)'!AC11/'원자료(월별지수)'!AB11-1,"")</f>
        <v>0.0873165901521289</v>
      </c>
      <c r="AA11" s="12" t="n">
        <f aca="false">IFERROR('원자료(월별지수)'!AD11/'원자료(월별지수)'!AC11-1,"")</f>
        <v>0.46121367662886</v>
      </c>
      <c r="AB11" s="12" t="n">
        <f aca="false">IFERROR('원자료(월별지수)'!AE11/'원자료(월별지수)'!AD11-1,"")</f>
        <v>-0.0547875354107648</v>
      </c>
      <c r="AC11" s="12" t="n">
        <f aca="false">IFERROR('원자료(월별지수)'!AF11/'원자료(월별지수)'!AE11-1,"")</f>
        <v>-0.227057483666007</v>
      </c>
      <c r="AD11" s="12" t="n">
        <f aca="false">IFERROR('원자료(월별지수)'!AG11/'원자료(월별지수)'!AF11-1,"")</f>
        <v>-0.013338503295851</v>
      </c>
      <c r="AE11" s="12" t="n">
        <f aca="false">IFERROR('원자료(월별지수)'!AH11/'원자료(월별지수)'!AG11-1,"")</f>
        <v>-0.12151222196023</v>
      </c>
      <c r="AF11" s="12" t="n">
        <f aca="false">IFERROR('원자료(월별지수)'!AI11/'원자료(월별지수)'!AH11-1,"")</f>
        <v>0.177686320121679</v>
      </c>
      <c r="AG11" s="12" t="n">
        <f aca="false">IFERROR('원자료(월별지수)'!AJ11/'원자료(월별지수)'!AI11-1,"")</f>
        <v>0.431968396262251</v>
      </c>
      <c r="AH11" s="12" t="n">
        <f aca="false">IFERROR('원자료(월별지수)'!AK11/'원자료(월별지수)'!AJ11-1,"")</f>
        <v>-0.318319274232055</v>
      </c>
      <c r="AI11" s="12" t="n">
        <f aca="false">IFERROR('원자료(월별지수)'!AL11/'원자료(월별지수)'!AK11-1,"")</f>
        <v>-0.259631099696475</v>
      </c>
      <c r="AJ11" s="12" t="n">
        <f aca="false">IFERROR('원자료(월별지수)'!AM11/'원자료(월별지수)'!AL11-1,"")</f>
        <v>0.103437401450647</v>
      </c>
      <c r="AK11" s="12" t="n">
        <f aca="false">IFERROR('원자료(월별지수)'!AN11/'원자료(월별지수)'!AM11-1,"")</f>
        <v>0.0972658854910928</v>
      </c>
      <c r="AL11" s="12" t="n">
        <f aca="false">IFERROR('원자료(월별지수)'!AO11/'원자료(월별지수)'!AN11-1,"")</f>
        <v>1.04940093766279</v>
      </c>
      <c r="AM11" s="12" t="n">
        <f aca="false">IFERROR('원자료(월별지수)'!AP11/'원자료(월별지수)'!AO11-1,"")</f>
        <v>0.0379580597331073</v>
      </c>
      <c r="AN11" s="12" t="n">
        <f aca="false">IFERROR('원자료(월별지수)'!AQ11/'원자료(월별지수)'!AP11-1,"")</f>
        <v>-0.0517121750132648</v>
      </c>
      <c r="AO11" s="12" t="n">
        <f aca="false">IFERROR('원자료(월별지수)'!AR11/'원자료(월별지수)'!AQ11-1,"")</f>
        <v>-0.0465266419901869</v>
      </c>
      <c r="AP11" s="12" t="n">
        <f aca="false">IFERROR('원자료(월별지수)'!AS11/'원자료(월별지수)'!AR11-1,"")</f>
        <v>-0.378774883762921</v>
      </c>
      <c r="AQ11" s="12" t="n">
        <f aca="false">IFERROR('원자료(월별지수)'!AT11/'원자료(월별지수)'!AS11-1,"")</f>
        <v>-0.211451823862811</v>
      </c>
      <c r="AR11" s="12" t="n">
        <f aca="false">IFERROR('원자료(월별지수)'!AU11/'원자료(월별지수)'!AT11-1,"")</f>
        <v>0.198488757832658</v>
      </c>
      <c r="AS11" s="12" t="n">
        <f aca="false">IFERROR('원자료(월별지수)'!AV11/'원자료(월별지수)'!AU11-1,"")</f>
        <v>0.346455482085192</v>
      </c>
      <c r="AT11" s="12" t="n">
        <f aca="false">IFERROR('원자료(월별지수)'!AW11/'원자료(월별지수)'!AV11-1,"")</f>
        <v>-0.300194152581087</v>
      </c>
      <c r="AU11" s="12" t="n">
        <f aca="false">IFERROR('원자료(월별지수)'!AX11/'원자료(월별지수)'!AW11-1,"")</f>
        <v>-0.0274989800081599</v>
      </c>
      <c r="AV11" s="12" t="n">
        <f aca="false">IFERROR('원자료(월별지수)'!AY11/'원자료(월별지수)'!AX11-1,"")</f>
        <v>0.00646081557308276</v>
      </c>
      <c r="AW11" s="12" t="n">
        <f aca="false">IFERROR('원자료(월별지수)'!AZ11/'원자료(월별지수)'!AY11-1,"")</f>
        <v>0.196331804918716</v>
      </c>
      <c r="AX11" s="12" t="n">
        <f aca="false">IFERROR('원자료(월별지수)'!BA11/'원자료(월별지수)'!AZ11-1,"")</f>
        <v>-0.0542160278745645</v>
      </c>
      <c r="AY11" s="12" t="n">
        <f aca="false">IFERROR('원자료(월별지수)'!BB11/'원자료(월별지수)'!BA11-1,"")</f>
        <v>0.00825228411435308</v>
      </c>
      <c r="AZ11" s="12" t="n">
        <f aca="false">IFERROR('원자료(월별지수)'!BC11/'원자료(월별지수)'!BB11-1,"")</f>
        <v>0.103405437006723</v>
      </c>
      <c r="BA11" s="12" t="n">
        <f aca="false">IFERROR('원자료(월별지수)'!BD11/'원자료(월별지수)'!BC11-1,"")</f>
        <v>-0.0909331743824096</v>
      </c>
      <c r="BB11" s="12" t="n">
        <f aca="false">IFERROR('원자료(월별지수)'!BE11/'원자료(월별지수)'!BD11-1,"")</f>
        <v>-0.0595949293311961</v>
      </c>
      <c r="BC11" s="12" t="n">
        <f aca="false">IFERROR('원자료(월별지수)'!BF11/'원자료(월별지수)'!BE11-1,"")</f>
        <v>-0.150681747753331</v>
      </c>
      <c r="BD11" s="12" t="n">
        <f aca="false">IFERROR('원자료(월별지수)'!BG11/'원자료(월별지수)'!BF11-1,"")</f>
        <v>0.607954027182341</v>
      </c>
      <c r="BE11" s="12" t="n">
        <f aca="false">IFERROR('원자료(월별지수)'!BH11/'원자료(월별지수)'!BG11-1,"")</f>
        <v>-0.0110052189698208</v>
      </c>
      <c r="BF11" s="12" t="n">
        <f aca="false">IFERROR('원자료(월별지수)'!BI11/'원자료(월별지수)'!BH11-1,"")</f>
        <v>-0.264942067224963</v>
      </c>
      <c r="BG11" s="12" t="n">
        <f aca="false">IFERROR('원자료(월별지수)'!BJ11/'원자료(월별지수)'!BI11-1,"")</f>
        <v>-0.204057744830277</v>
      </c>
      <c r="BH11" s="12" t="n">
        <f aca="false">IFERROR('원자료(월별지수)'!BK11/'원자료(월별지수)'!BJ11-1,"")</f>
        <v>0.104803921568627</v>
      </c>
      <c r="BI11" s="12" t="n">
        <f aca="false">IFERROR('원자료(월별지수)'!BL11/'원자료(월별지수)'!BK11-1,"")</f>
        <v>0.0197000621173129</v>
      </c>
      <c r="BJ11" s="12" t="n">
        <f aca="false">IFERROR('원자료(월별지수)'!BM11/'원자료(월별지수)'!BL11-1,"")</f>
        <v>-0.147767818292577</v>
      </c>
      <c r="BK11" s="12" t="n">
        <f aca="false">IFERROR('원자료(월별지수)'!BN11/'원자료(월별지수)'!BM11-1,"")</f>
        <v>0.441641989175942</v>
      </c>
      <c r="BL11" s="12" t="n">
        <f aca="false">IFERROR('원자료(월별지수)'!BO11/'원자료(월별지수)'!BN11-1,"")</f>
        <v>0.0753647825471029</v>
      </c>
      <c r="BM11" s="12" t="n">
        <f aca="false">IFERROR('원자료(월별지수)'!BP11/'원자료(월별지수)'!BO11-1,"")</f>
        <v>-0.0320115926755368</v>
      </c>
      <c r="BN11" s="12" t="n">
        <f aca="false">IFERROR('원자료(월별지수)'!BQ11/'원자료(월별지수)'!BP11-1,"")</f>
        <v>-0.015242242787153</v>
      </c>
    </row>
    <row r="12" customFormat="false" ht="15" hidden="false" customHeight="false" outlineLevel="0" collapsed="false">
      <c r="A12" s="8" t="s">
        <v>93</v>
      </c>
      <c r="B12" s="9" t="s">
        <v>99</v>
      </c>
      <c r="C12" s="12" t="n">
        <f aca="false">IFERROR('원자료(월별지수)'!F12/'원자료(월별지수)'!E12-1,"")</f>
        <v>-0.146567717996289</v>
      </c>
      <c r="D12" s="12" t="n">
        <f aca="false">IFERROR('원자료(월별지수)'!G12/'원자료(월별지수)'!F12-1,"")</f>
        <v>0.379710144927536</v>
      </c>
      <c r="E12" s="12" t="n">
        <f aca="false">IFERROR('원자료(월별지수)'!H12/'원자료(월별지수)'!G12-1,"")</f>
        <v>-0.213366596638655</v>
      </c>
      <c r="F12" s="12" t="n">
        <f aca="false">IFERROR('원자료(월별지수)'!I12/'원자료(월별지수)'!H12-1,"")</f>
        <v>-0.29377399432482</v>
      </c>
      <c r="G12" s="12" t="n">
        <f aca="false">IFERROR('원자료(월별지수)'!J12/'원자료(월별지수)'!I12-1,"")</f>
        <v>-0.00354526116757281</v>
      </c>
      <c r="H12" s="12" t="n">
        <f aca="false">IFERROR('원자료(월별지수)'!K12/'원자료(월별지수)'!J12-1,"")</f>
        <v>-0.309535104364326</v>
      </c>
      <c r="I12" s="12" t="n">
        <f aca="false">IFERROR('원자료(월별지수)'!L12/'원자료(월별지수)'!K12-1,"")</f>
        <v>0.356922019924425</v>
      </c>
      <c r="J12" s="12" t="n">
        <f aca="false">IFERROR('원자료(월별지수)'!M12/'원자료(월별지수)'!L12-1,"")</f>
        <v>-0.173417721518987</v>
      </c>
      <c r="K12" s="12" t="n">
        <f aca="false">IFERROR('원자료(월별지수)'!N12/'원자료(월별지수)'!M12-1,"")</f>
        <v>0</v>
      </c>
      <c r="L12" s="12" t="n">
        <f aca="false">IFERROR('원자료(월별지수)'!O12/'원자료(월별지수)'!N12-1,"")</f>
        <v>0</v>
      </c>
      <c r="M12" s="12" t="n">
        <f aca="false">IFERROR('원자료(월별지수)'!P12/'원자료(월별지수)'!O12-1,"")</f>
        <v>0</v>
      </c>
      <c r="N12" s="12" t="n">
        <f aca="false">IFERROR('원자료(월별지수)'!Q12/'원자료(월별지수)'!P12-1,"")</f>
        <v>0</v>
      </c>
      <c r="O12" s="12" t="n">
        <f aca="false">IFERROR('원자료(월별지수)'!R12/'원자료(월별지수)'!Q12-1,"")</f>
        <v>0</v>
      </c>
      <c r="P12" s="12" t="n">
        <f aca="false">IFERROR('원자료(월별지수)'!S12/'원자료(월별지수)'!R12-1,"")</f>
        <v>1.21271056661562</v>
      </c>
      <c r="Q12" s="12" t="n">
        <f aca="false">IFERROR('원자료(월별지수)'!T12/'원자료(월별지수)'!S12-1,"")</f>
        <v>-0.0112810575126306</v>
      </c>
      <c r="R12" s="12" t="n">
        <f aca="false">IFERROR('원자료(월별지수)'!U12/'원자료(월별지수)'!T12-1,"")</f>
        <v>-0.433921321573569</v>
      </c>
      <c r="S12" s="12" t="n">
        <f aca="false">IFERROR('원자료(월별지수)'!V12/'원자료(월별지수)'!U12-1,"")</f>
        <v>-0.206627921355262</v>
      </c>
      <c r="T12" s="12" t="n">
        <f aca="false">IFERROR('원자료(월별지수)'!W12/'원자료(월별지수)'!V12-1,"")</f>
        <v>0.14822319201995</v>
      </c>
      <c r="U12" s="12" t="n">
        <f aca="false">IFERROR('원자료(월별지수)'!X12/'원자료(월별지수)'!W12-1,"")</f>
        <v>0.129224921949233</v>
      </c>
      <c r="V12" s="12" t="n">
        <f aca="false">IFERROR('원자료(월별지수)'!Y12/'원자료(월별지수)'!X12-1,"")</f>
        <v>0</v>
      </c>
      <c r="W12" s="12" t="n">
        <f aca="false">IFERROR('원자료(월별지수)'!Z12/'원자료(월별지수)'!Y12-1,"")</f>
        <v>0</v>
      </c>
      <c r="X12" s="12" t="n">
        <f aca="false">IFERROR('원자료(월별지수)'!AA12/'원자료(월별지수)'!Z12-1,"")</f>
        <v>0</v>
      </c>
      <c r="Y12" s="12" t="n">
        <f aca="false">IFERROR('원자료(월별지수)'!AB12/'원자료(월별지수)'!AA12-1,"")</f>
        <v>0</v>
      </c>
      <c r="Z12" s="12" t="n">
        <f aca="false">IFERROR('원자료(월별지수)'!AC12/'원자료(월별지수)'!AB12-1,"")</f>
        <v>0</v>
      </c>
      <c r="AA12" s="12" t="n">
        <f aca="false">IFERROR('원자료(월별지수)'!AD12/'원자료(월별지수)'!AC12-1,"")</f>
        <v>0</v>
      </c>
      <c r="AB12" s="12" t="n">
        <f aca="false">IFERROR('원자료(월별지수)'!AE12/'원자료(월별지수)'!AD12-1,"")</f>
        <v>0.913931962976319</v>
      </c>
      <c r="AC12" s="12" t="n">
        <f aca="false">IFERROR('원자료(월별지수)'!AF12/'원자료(월별지수)'!AE12-1,"")</f>
        <v>-0.224343675417661</v>
      </c>
      <c r="AD12" s="12" t="n">
        <f aca="false">IFERROR('원자료(월별지수)'!AG12/'원자료(월별지수)'!AF12-1,"")</f>
        <v>-0.293198380566802</v>
      </c>
      <c r="AE12" s="12" t="n">
        <f aca="false">IFERROR('원자료(월별지수)'!AH12/'원자료(월별지수)'!AG12-1,"")</f>
        <v>-0.00698820025203339</v>
      </c>
      <c r="AF12" s="12" t="n">
        <f aca="false">IFERROR('원자료(월별지수)'!AI12/'원자료(월별지수)'!AH12-1,"")</f>
        <v>-0.196469773880941</v>
      </c>
      <c r="AG12" s="12" t="n">
        <f aca="false">IFERROR('원자료(월별지수)'!AJ12/'원자료(월별지수)'!AI12-1,"")</f>
        <v>0.871069633883704</v>
      </c>
      <c r="AH12" s="12" t="n">
        <f aca="false">IFERROR('원자료(월별지수)'!AK12/'원자료(월별지수)'!AJ12-1,"")</f>
        <v>0</v>
      </c>
      <c r="AI12" s="12" t="n">
        <f aca="false">IFERROR('원자료(월별지수)'!AL12/'원자료(월별지수)'!AK12-1,"")</f>
        <v>0</v>
      </c>
      <c r="AJ12" s="12" t="n">
        <f aca="false">IFERROR('원자료(월별지수)'!AM12/'원자료(월별지수)'!AL12-1,"")</f>
        <v>0</v>
      </c>
      <c r="AK12" s="12" t="n">
        <f aca="false">IFERROR('원자료(월별지수)'!AN12/'원자료(월별지수)'!AM12-1,"")</f>
        <v>0</v>
      </c>
      <c r="AL12" s="12" t="n">
        <f aca="false">IFERROR('원자료(월별지수)'!AO12/'원자료(월별지수)'!AN12-1,"")</f>
        <v>0</v>
      </c>
      <c r="AM12" s="12" t="n">
        <f aca="false">IFERROR('원자료(월별지수)'!AP12/'원자료(월별지수)'!AO12-1,"")</f>
        <v>0</v>
      </c>
      <c r="AN12" s="12" t="n">
        <f aca="false">IFERROR('원자료(월별지수)'!AQ12/'원자료(월별지수)'!AP12-1,"")</f>
        <v>0.418508287292818</v>
      </c>
      <c r="AO12" s="12" t="n">
        <f aca="false">IFERROR('원자료(월별지수)'!AR12/'원자료(월별지수)'!AQ12-1,"")</f>
        <v>0.017472682029644</v>
      </c>
      <c r="AP12" s="12" t="n">
        <f aca="false">IFERROR('원자료(월별지수)'!AS12/'원자료(월별지수)'!AR12-1,"")</f>
        <v>-0.523791801797012</v>
      </c>
      <c r="AQ12" s="12" t="n">
        <f aca="false">IFERROR('원자료(월별지수)'!AT12/'원자료(월별지수)'!AS12-1,"")</f>
        <v>-0.281232555543151</v>
      </c>
      <c r="AR12" s="12" t="n">
        <f aca="false">IFERROR('원자료(월별지수)'!AU12/'원자료(월별지수)'!AT12-1,"")</f>
        <v>-0.141348244796521</v>
      </c>
      <c r="AS12" s="12" t="n">
        <f aca="false">IFERROR('원자료(월별지수)'!AV12/'원자료(월별지수)'!AU12-1,"")</f>
        <v>0.246201157742402</v>
      </c>
      <c r="AT12" s="12" t="n">
        <f aca="false">IFERROR('원자료(월별지수)'!AW12/'원자료(월별지수)'!AV12-1,"")</f>
        <v>0</v>
      </c>
      <c r="AU12" s="12" t="n">
        <f aca="false">IFERROR('원자료(월별지수)'!AX12/'원자료(월별지수)'!AW12-1,"")</f>
        <v>0</v>
      </c>
      <c r="AV12" s="12" t="n">
        <f aca="false">IFERROR('원자료(월별지수)'!AY12/'원자료(월별지수)'!AX12-1,"")</f>
        <v>0</v>
      </c>
      <c r="AW12" s="12" t="n">
        <f aca="false">IFERROR('원자료(월별지수)'!AZ12/'원자료(월별지수)'!AY12-1,"")</f>
        <v>0</v>
      </c>
      <c r="AX12" s="12" t="n">
        <f aca="false">IFERROR('원자료(월별지수)'!BA12/'원자료(월별지수)'!AZ12-1,"")</f>
        <v>0</v>
      </c>
      <c r="AY12" s="12" t="n">
        <f aca="false">IFERROR('원자료(월별지수)'!BB12/'원자료(월별지수)'!BA12-1,"")</f>
        <v>0</v>
      </c>
      <c r="AZ12" s="12" t="n">
        <f aca="false">IFERROR('원자료(월별지수)'!BC12/'원자료(월별지수)'!BB12-1,"")</f>
        <v>1.29496298446799</v>
      </c>
      <c r="BA12" s="12" t="n">
        <f aca="false">IFERROR('원자료(월별지수)'!BD12/'원자료(월별지수)'!BC12-1,"")</f>
        <v>0.0410499683744465</v>
      </c>
      <c r="BB12" s="12" t="n">
        <f aca="false">IFERROR('원자료(월별지수)'!BE12/'원자료(월별지수)'!BD12-1,"")</f>
        <v>-0.531016465155842</v>
      </c>
      <c r="BC12" s="12" t="n">
        <f aca="false">IFERROR('원자료(월별지수)'!BF12/'원자료(월별지수)'!BE12-1,"")</f>
        <v>0.0456017618862548</v>
      </c>
      <c r="BD12" s="12" t="n">
        <f aca="false">IFERROR('원자료(월별지수)'!BG12/'원자료(월별지수)'!BF12-1,"")</f>
        <v>-0.242720852434642</v>
      </c>
      <c r="BE12" s="12" t="n">
        <f aca="false">IFERROR('원자료(월별지수)'!BH12/'원자료(월별지수)'!BG12-1,"")</f>
        <v>0.182428010471204</v>
      </c>
      <c r="BF12" s="12" t="n">
        <f aca="false">IFERROR('원자료(월별지수)'!BI12/'원자료(월별지수)'!BH12-1,"")</f>
        <v>0</v>
      </c>
      <c r="BG12" s="12" t="n">
        <f aca="false">IFERROR('원자료(월별지수)'!BJ12/'원자료(월별지수)'!BI12-1,"")</f>
        <v>0</v>
      </c>
      <c r="BH12" s="12" t="n">
        <f aca="false">IFERROR('원자료(월별지수)'!BK12/'원자료(월별지수)'!BJ12-1,"")</f>
        <v>0</v>
      </c>
      <c r="BI12" s="12" t="n">
        <f aca="false">IFERROR('원자료(월별지수)'!BL12/'원자료(월별지수)'!BK12-1,"")</f>
        <v>0</v>
      </c>
      <c r="BJ12" s="12" t="n">
        <f aca="false">IFERROR('원자료(월별지수)'!BM12/'원자료(월별지수)'!BL12-1,"")</f>
        <v>0</v>
      </c>
      <c r="BK12" s="12" t="n">
        <f aca="false">IFERROR('원자료(월별지수)'!BN12/'원자료(월별지수)'!BM12-1,"")</f>
        <v>0</v>
      </c>
      <c r="BL12" s="12" t="n">
        <f aca="false">IFERROR('원자료(월별지수)'!BO12/'원자료(월별지수)'!BN12-1,"")</f>
        <v>1.16964162169642</v>
      </c>
      <c r="BM12" s="12" t="n">
        <f aca="false">IFERROR('원자료(월별지수)'!BP12/'원자료(월별지수)'!BO12-1,"")</f>
        <v>-0.104336734693878</v>
      </c>
      <c r="BN12" s="12" t="n">
        <f aca="false">IFERROR('원자료(월별지수)'!BQ12/'원자료(월별지수)'!BP12-1,"")</f>
        <v>-0.386143548846483</v>
      </c>
    </row>
    <row r="13" customFormat="false" ht="15" hidden="false" customHeight="false" outlineLevel="0" collapsed="false">
      <c r="A13" s="8" t="s">
        <v>93</v>
      </c>
      <c r="B13" s="9" t="s">
        <v>100</v>
      </c>
      <c r="C13" s="12" t="n">
        <f aca="false">IFERROR('원자료(월별지수)'!F13/'원자료(월별지수)'!E13-1,"")</f>
        <v>-0.0204214642624375</v>
      </c>
      <c r="D13" s="12" t="n">
        <f aca="false">IFERROR('원자료(월별지수)'!G13/'원자료(월별지수)'!F13-1,"")</f>
        <v>-0.200709691727656</v>
      </c>
      <c r="E13" s="12" t="n">
        <f aca="false">IFERROR('원자료(월별지수)'!H13/'원자료(월별지수)'!G13-1,"")</f>
        <v>-0.366629670736219</v>
      </c>
      <c r="F13" s="12" t="n">
        <f aca="false">IFERROR('원자료(월별지수)'!I13/'원자료(월별지수)'!H13-1,"")</f>
        <v>0.073306074766355</v>
      </c>
      <c r="G13" s="12" t="n">
        <f aca="false">IFERROR('원자료(월별지수)'!J13/'원자료(월별지수)'!I13-1,"")</f>
        <v>-0.124897959183674</v>
      </c>
      <c r="H13" s="12" t="n">
        <f aca="false">IFERROR('원자료(월별지수)'!K13/'원자료(월별지수)'!J13-1,"")</f>
        <v>0.265702736318408</v>
      </c>
      <c r="I13" s="12" t="n">
        <f aca="false">IFERROR('원자료(월별지수)'!L13/'원자료(월별지수)'!K13-1,"")</f>
        <v>0.386930352536544</v>
      </c>
      <c r="J13" s="12" t="n">
        <f aca="false">IFERROR('원자료(월별지수)'!M13/'원자료(월별지수)'!L13-1,"")</f>
        <v>-0.0315295367992207</v>
      </c>
      <c r="K13" s="12" t="n">
        <f aca="false">IFERROR('원자료(월별지수)'!N13/'원자료(월별지수)'!M13-1,"")</f>
        <v>0.189300411522634</v>
      </c>
      <c r="L13" s="12" t="n">
        <f aca="false">IFERROR('원자료(월별지수)'!O13/'원자료(월별지수)'!N13-1,"")</f>
        <v>0.174932718185313</v>
      </c>
      <c r="M13" s="12" t="n">
        <f aca="false">IFERROR('원자료(월별지수)'!P13/'원자료(월별지수)'!O13-1,"")</f>
        <v>-0.0200916230366494</v>
      </c>
      <c r="N13" s="12" t="n">
        <f aca="false">IFERROR('원자료(월별지수)'!Q13/'원자료(월별지수)'!P13-1,"")</f>
        <v>0.104721832632071</v>
      </c>
      <c r="O13" s="12" t="n">
        <f aca="false">IFERROR('원자료(월별지수)'!R13/'원자료(월별지수)'!Q13-1,"")</f>
        <v>-0.203071156520162</v>
      </c>
      <c r="P13" s="12" t="n">
        <f aca="false">IFERROR('원자료(월별지수)'!S13/'원자료(월별지수)'!R13-1,"")</f>
        <v>-0.0108481262327417</v>
      </c>
      <c r="Q13" s="12" t="n">
        <f aca="false">IFERROR('원자료(월별지수)'!T13/'원자료(월별지수)'!S13-1,"")</f>
        <v>-0.387606411534627</v>
      </c>
      <c r="R13" s="12" t="n">
        <f aca="false">IFERROR('원자료(월별지수)'!U13/'원자료(월별지수)'!T13-1,"")</f>
        <v>-0.232060112711334</v>
      </c>
      <c r="S13" s="12" t="n">
        <f aca="false">IFERROR('원자료(월별지수)'!V13/'원자료(월별지수)'!U13-1,"")</f>
        <v>0.280332681017613</v>
      </c>
      <c r="T13" s="12" t="n">
        <f aca="false">IFERROR('원자료(월별지수)'!W13/'원자료(월별지수)'!V13-1,"")</f>
        <v>1.00471277544262</v>
      </c>
      <c r="U13" s="12" t="n">
        <f aca="false">IFERROR('원자료(월별지수)'!X13/'원자료(월별지수)'!W13-1,"")</f>
        <v>0.0381218628883664</v>
      </c>
      <c r="V13" s="12" t="n">
        <f aca="false">IFERROR('원자료(월별지수)'!Y13/'원자료(월별지수)'!X13-1,"")</f>
        <v>-0.18722076014444</v>
      </c>
      <c r="W13" s="12" t="n">
        <f aca="false">IFERROR('원자료(월별지수)'!Z13/'원자료(월별지수)'!Y13-1,"")</f>
        <v>-0.264834337349398</v>
      </c>
      <c r="X13" s="12" t="n">
        <f aca="false">IFERROR('원자료(월별지수)'!AA13/'원자료(월별지수)'!Z13-1,"")</f>
        <v>-0.132848509679402</v>
      </c>
      <c r="Y13" s="12" t="n">
        <f aca="false">IFERROR('원자료(월별지수)'!AB13/'원자료(월별지수)'!AA13-1,"")</f>
        <v>0.749940940231515</v>
      </c>
      <c r="Z13" s="12" t="n">
        <f aca="false">IFERROR('원자료(월별지수)'!AC13/'원자료(월별지수)'!AB13-1,"")</f>
        <v>0.328585892676342</v>
      </c>
      <c r="AA13" s="12" t="n">
        <f aca="false">IFERROR('원자료(월별지수)'!AD13/'원자료(월별지수)'!AC13-1,"")</f>
        <v>-0.0411014581110604</v>
      </c>
      <c r="AB13" s="12" t="n">
        <f aca="false">IFERROR('원자료(월별지수)'!AE13/'원자료(월별지수)'!AD13-1,"")</f>
        <v>-0.268199639716011</v>
      </c>
      <c r="AC13" s="12" t="n">
        <f aca="false">IFERROR('원자료(월별지수)'!AF13/'원자료(월별지수)'!AE13-1,"")</f>
        <v>-0.3209527946713</v>
      </c>
      <c r="AD13" s="12" t="n">
        <f aca="false">IFERROR('원자료(월별지수)'!AG13/'원자료(월별지수)'!AF13-1,"")</f>
        <v>-0.236699008423073</v>
      </c>
      <c r="AE13" s="12" t="n">
        <f aca="false">IFERROR('원자료(월별지수)'!AH13/'원자료(월별지수)'!AG13-1,"")</f>
        <v>0.127671462494762</v>
      </c>
      <c r="AF13" s="12" t="n">
        <f aca="false">IFERROR('원자료(월별지수)'!AI13/'원자료(월별지수)'!AH13-1,"")</f>
        <v>0.518394648829431</v>
      </c>
      <c r="AG13" s="12" t="n">
        <f aca="false">IFERROR('원자료(월별지수)'!AJ13/'원자료(월별지수)'!AI13-1,"")</f>
        <v>0.144313917441671</v>
      </c>
      <c r="AH13" s="12" t="n">
        <f aca="false">IFERROR('원자료(월별지수)'!AK13/'원자료(월별지수)'!AJ13-1,"")</f>
        <v>0.0304412917943964</v>
      </c>
      <c r="AI13" s="12" t="n">
        <f aca="false">IFERROR('원자료(월별지수)'!AL13/'원자료(월별지수)'!AK13-1,"")</f>
        <v>-0.204856787048568</v>
      </c>
      <c r="AJ13" s="12" t="n">
        <f aca="false">IFERROR('원자료(월별지수)'!AM13/'원자료(월별지수)'!AL13-1,"")</f>
        <v>0.232489341338206</v>
      </c>
      <c r="AK13" s="12" t="n">
        <f aca="false">IFERROR('원자료(월별지수)'!AN13/'원자료(월별지수)'!AM13-1,"")</f>
        <v>0.198164489939993</v>
      </c>
      <c r="AL13" s="12" t="n">
        <f aca="false">IFERROR('원자료(월별지수)'!AO13/'원자료(월별지수)'!AN13-1,"")</f>
        <v>0.280285175583314</v>
      </c>
      <c r="AM13" s="12" t="n">
        <f aca="false">IFERROR('원자료(월별지수)'!AP13/'원자료(월별지수)'!AO13-1,"")</f>
        <v>0.0126558976483042</v>
      </c>
      <c r="AN13" s="12" t="n">
        <f aca="false">IFERROR('원자료(월별지수)'!AQ13/'원자료(월별지수)'!AP13-1,"")</f>
        <v>-0.175831666969642</v>
      </c>
      <c r="AO13" s="12" t="n">
        <f aca="false">IFERROR('원자료(월별지수)'!AR13/'원자료(월별지수)'!AQ13-1,"")</f>
        <v>-0.4415770609319</v>
      </c>
      <c r="AP13" s="12" t="n">
        <f aca="false">IFERROR('원자료(월별지수)'!AS13/'원자료(월별지수)'!AR13-1,"")</f>
        <v>-0.34590698133702</v>
      </c>
      <c r="AQ13" s="12" t="n">
        <f aca="false">IFERROR('원자료(월별지수)'!AT13/'원자료(월별지수)'!AS13-1,"")</f>
        <v>-0.164704106280193</v>
      </c>
      <c r="AR13" s="12" t="n">
        <f aca="false">IFERROR('원자료(월별지수)'!AU13/'원자료(월별지수)'!AT13-1,"")</f>
        <v>0.987710103018254</v>
      </c>
      <c r="AS13" s="12" t="n">
        <f aca="false">IFERROR('원자료(월별지수)'!AV13/'원자료(월별지수)'!AU13-1,"")</f>
        <v>0.211129296235679</v>
      </c>
      <c r="AT13" s="12" t="n">
        <f aca="false">IFERROR('원자료(월별지수)'!AW13/'원자료(월별지수)'!AV13-1,"")</f>
        <v>0.118093093093093</v>
      </c>
      <c r="AU13" s="12" t="n">
        <f aca="false">IFERROR('원자료(월별지수)'!AX13/'원자료(월별지수)'!AW13-1,"")</f>
        <v>-0.0525078896125696</v>
      </c>
      <c r="AV13" s="12" t="n">
        <f aca="false">IFERROR('원자료(월별지수)'!AY13/'원자료(월별지수)'!AX13-1,"")</f>
        <v>-0.00680320317482819</v>
      </c>
      <c r="AW13" s="12" t="n">
        <f aca="false">IFERROR('원자료(월별지수)'!AZ13/'원자료(월별지수)'!AY13-1,"")</f>
        <v>0.00620763467713159</v>
      </c>
      <c r="AX13" s="12" t="n">
        <f aca="false">IFERROR('원자료(월별지수)'!BA13/'원자료(월별지수)'!AZ13-1,"")</f>
        <v>0.235002127357822</v>
      </c>
      <c r="AY13" s="12" t="n">
        <f aca="false">IFERROR('원자료(월별지수)'!BB13/'원자료(월별지수)'!BA13-1,"")</f>
        <v>-0.0829122645842904</v>
      </c>
      <c r="AZ13" s="12" t="n">
        <f aca="false">IFERROR('원자료(월별지수)'!BC13/'원자료(월별지수)'!BB13-1,"")</f>
        <v>-0.131918357124969</v>
      </c>
      <c r="BA13" s="12" t="n">
        <f aca="false">IFERROR('원자료(월별지수)'!BD13/'원자료(월별지수)'!BC13-1,"")</f>
        <v>-0.351388388027407</v>
      </c>
      <c r="BB13" s="12" t="n">
        <f aca="false">IFERROR('원자료(월별지수)'!BE13/'원자료(월별지수)'!BD13-1,"")</f>
        <v>-0.155120649393973</v>
      </c>
      <c r="BC13" s="12" t="n">
        <f aca="false">IFERROR('원자료(월별지수)'!BF13/'원자료(월별지수)'!BE13-1,"")</f>
        <v>-0.00263227165043434</v>
      </c>
      <c r="BD13" s="12" t="n">
        <f aca="false">IFERROR('원자료(월별지수)'!BG13/'원자료(월별지수)'!BF13-1,"")</f>
        <v>0.122855634732119</v>
      </c>
      <c r="BE13" s="12" t="n">
        <f aca="false">IFERROR('원자료(월별지수)'!BH13/'원자료(월별지수)'!BG13-1,"")</f>
        <v>0.33823010929604</v>
      </c>
      <c r="BF13" s="12" t="n">
        <f aca="false">IFERROR('원자료(월별지수)'!BI13/'원자료(월별지수)'!BH13-1,"")</f>
        <v>0.110125581803811</v>
      </c>
      <c r="BG13" s="12" t="n">
        <f aca="false">IFERROR('원자료(월별지수)'!BJ13/'원자료(월별지수)'!BI13-1,"")</f>
        <v>0.00632861324262324</v>
      </c>
      <c r="BH13" s="12" t="n">
        <f aca="false">IFERROR('원자료(월별지수)'!BK13/'원자료(월별지수)'!BJ13-1,"")</f>
        <v>-0.132772580771952</v>
      </c>
      <c r="BI13" s="12" t="n">
        <f aca="false">IFERROR('원자료(월별지수)'!BL13/'원자료(월별지수)'!BK13-1,"")</f>
        <v>0.251450326323423</v>
      </c>
      <c r="BJ13" s="12" t="n">
        <f aca="false">IFERROR('원자료(월별지수)'!BM13/'원자료(월별지수)'!BL13-1,"")</f>
        <v>0.190207156308851</v>
      </c>
      <c r="BK13" s="12" t="n">
        <f aca="false">IFERROR('원자료(월별지수)'!BN13/'원자료(월별지수)'!BM13-1,"")</f>
        <v>-0.142100778967868</v>
      </c>
      <c r="BL13" s="12" t="n">
        <f aca="false">IFERROR('원자료(월별지수)'!BO13/'원자료(월별지수)'!BN13-1,"")</f>
        <v>-0.190749804923033</v>
      </c>
      <c r="BM13" s="12" t="n">
        <f aca="false">IFERROR('원자료(월별지수)'!BP13/'원자료(월별지수)'!BO13-1,"")</f>
        <v>-0.305662692847125</v>
      </c>
      <c r="BN13" s="12" t="n">
        <f aca="false">IFERROR('원자료(월별지수)'!BQ13/'원자료(월별지수)'!BP13-1,"")</f>
        <v>-0.345032192904936</v>
      </c>
    </row>
    <row r="14" customFormat="false" ht="15" hidden="false" customHeight="false" outlineLevel="0" collapsed="false">
      <c r="A14" s="8" t="s">
        <v>93</v>
      </c>
      <c r="B14" s="9" t="s">
        <v>101</v>
      </c>
      <c r="C14" s="12" t="n">
        <f aca="false">IFERROR('원자료(월별지수)'!F14/'원자료(월별지수)'!E14-1,"")</f>
        <v>-0.0663159262146013</v>
      </c>
      <c r="D14" s="12" t="n">
        <f aca="false">IFERROR('원자료(월별지수)'!G14/'원자료(월별지수)'!F14-1,"")</f>
        <v>-0.125286956521739</v>
      </c>
      <c r="E14" s="12" t="n">
        <f aca="false">IFERROR('원자료(월별지수)'!H14/'원자료(월별지수)'!G14-1,"")</f>
        <v>-0.425640209957054</v>
      </c>
      <c r="F14" s="12" t="n">
        <f aca="false">IFERROR('원자료(월별지수)'!I14/'원자료(월별지수)'!H14-1,"")</f>
        <v>0.258515646635281</v>
      </c>
      <c r="G14" s="12" t="n">
        <f aca="false">IFERROR('원자료(월별지수)'!J14/'원자료(월별지수)'!I14-1,"")</f>
        <v>-0.184068654417428</v>
      </c>
      <c r="H14" s="12" t="n">
        <f aca="false">IFERROR('원자료(월별지수)'!K14/'원자료(월별지수)'!J14-1,"")</f>
        <v>-0.332928802588997</v>
      </c>
      <c r="I14" s="12" t="n">
        <f aca="false">IFERROR('원자료(월별지수)'!L14/'원자료(월별지수)'!K14-1,"")</f>
        <v>0.877299373357591</v>
      </c>
      <c r="J14" s="12" t="n">
        <f aca="false">IFERROR('원자료(월별지수)'!M14/'원자료(월별지수)'!L14-1,"")</f>
        <v>0.417142241843437</v>
      </c>
      <c r="K14" s="12" t="n">
        <f aca="false">IFERROR('원자료(월별지수)'!N14/'원자료(월별지수)'!M14-1,"")</f>
        <v>-0.00395106754805874</v>
      </c>
      <c r="L14" s="12" t="n">
        <f aca="false">IFERROR('원자료(월별지수)'!O14/'원자료(월별지수)'!N14-1,"")</f>
        <v>-0.0977954077351438</v>
      </c>
      <c r="M14" s="12" t="n">
        <f aca="false">IFERROR('원자료(월별지수)'!P14/'원자료(월별지수)'!O14-1,"")</f>
        <v>0.102054620782954</v>
      </c>
      <c r="N14" s="12" t="n">
        <f aca="false">IFERROR('원자료(월별지수)'!Q14/'원자료(월별지수)'!P14-1,"")</f>
        <v>0.128893662728249</v>
      </c>
      <c r="O14" s="12" t="n">
        <f aca="false">IFERROR('원자료(월별지수)'!R14/'원자료(월별지수)'!Q14-1,"")</f>
        <v>-0.227470436319152</v>
      </c>
      <c r="P14" s="12" t="n">
        <f aca="false">IFERROR('원자료(월별지수)'!S14/'원자료(월별지수)'!R14-1,"")</f>
        <v>0.0040468021465645</v>
      </c>
      <c r="Q14" s="12" t="n">
        <f aca="false">IFERROR('원자료(월별지수)'!T14/'원자료(월별지수)'!S14-1,"")</f>
        <v>-0.349075615526154</v>
      </c>
      <c r="R14" s="12" t="n">
        <f aca="false">IFERROR('원자료(월별지수)'!U14/'원자료(월별지수)'!T14-1,"")</f>
        <v>-0.184681652981559</v>
      </c>
      <c r="S14" s="12" t="n">
        <f aca="false">IFERROR('원자료(월별지수)'!V14/'원자료(월별지수)'!U14-1,"")</f>
        <v>0.505695889053987</v>
      </c>
      <c r="T14" s="12" t="n">
        <f aca="false">IFERROR('원자료(월별지수)'!W14/'원자료(월별지수)'!V14-1,"")</f>
        <v>0.425438596491228</v>
      </c>
      <c r="U14" s="12" t="n">
        <f aca="false">IFERROR('원자료(월별지수)'!X14/'원자료(월별지수)'!W14-1,"")</f>
        <v>0.426230769230769</v>
      </c>
      <c r="V14" s="12" t="n">
        <f aca="false">IFERROR('원자료(월별지수)'!Y14/'원자료(월별지수)'!X14-1,"")</f>
        <v>-0.279219028099887</v>
      </c>
      <c r="W14" s="12" t="n">
        <f aca="false">IFERROR('원자료(월별지수)'!Z14/'원자료(월별지수)'!Y14-1,"")</f>
        <v>-0.284046692607004</v>
      </c>
      <c r="X14" s="12" t="n">
        <f aca="false">IFERROR('원자료(월별지수)'!AA14/'원자료(월별지수)'!Z14-1,"")</f>
        <v>-0.291178929765886</v>
      </c>
      <c r="Y14" s="12" t="n">
        <f aca="false">IFERROR('원자료(월별지수)'!AB14/'원자료(월별지수)'!AA14-1,"")</f>
        <v>0.737835446770864</v>
      </c>
      <c r="Z14" s="12" t="n">
        <f aca="false">IFERROR('원자료(월별지수)'!AC14/'원자료(월별지수)'!AB14-1,"")</f>
        <v>0.382318004412014</v>
      </c>
      <c r="AA14" s="12" t="n">
        <f aca="false">IFERROR('원자료(월별지수)'!AD14/'원자료(월별지수)'!AC14-1,"")</f>
        <v>0.187699484409526</v>
      </c>
      <c r="AB14" s="12" t="n">
        <f aca="false">IFERROR('원자료(월별지수)'!AE14/'원자료(월별지수)'!AD14-1,"")</f>
        <v>-0.229354005167959</v>
      </c>
      <c r="AC14" s="12" t="n">
        <f aca="false">IFERROR('원자료(월별지수)'!AF14/'원자료(월별지수)'!AE14-1,"")</f>
        <v>-0.339726394849786</v>
      </c>
      <c r="AD14" s="12" t="n">
        <f aca="false">IFERROR('원자료(월별지수)'!AG14/'원자료(월별지수)'!AF14-1,"")</f>
        <v>-0.0342270972983952</v>
      </c>
      <c r="AE14" s="12" t="n">
        <f aca="false">IFERROR('원자료(월별지수)'!AH14/'원자료(월별지수)'!AG14-1,"")</f>
        <v>-0.205594699758124</v>
      </c>
      <c r="AF14" s="12" t="n">
        <f aca="false">IFERROR('원자료(월별지수)'!AI14/'원자료(월별지수)'!AH14-1,"")</f>
        <v>0.357426528991263</v>
      </c>
      <c r="AG14" s="12" t="n">
        <f aca="false">IFERROR('원자료(월별지수)'!AJ14/'원자료(월별지수)'!AI14-1,"")</f>
        <v>0.102301540862103</v>
      </c>
      <c r="AH14" s="12" t="n">
        <f aca="false">IFERROR('원자료(월별지수)'!AK14/'원자료(월별지수)'!AJ14-1,"")</f>
        <v>0.114394408564098</v>
      </c>
      <c r="AI14" s="12" t="n">
        <f aca="false">IFERROR('원자료(월별지수)'!AL14/'원자료(월별지수)'!AK14-1,"")</f>
        <v>-0.173467767545252</v>
      </c>
      <c r="AJ14" s="12" t="n">
        <f aca="false">IFERROR('원자료(월별지수)'!AM14/'원자료(월별지수)'!AL14-1,"")</f>
        <v>0.0264143694169627</v>
      </c>
      <c r="AK14" s="12" t="n">
        <f aca="false">IFERROR('원자료(월별지수)'!AN14/'원자료(월별지수)'!AM14-1,"")</f>
        <v>0.155530600786075</v>
      </c>
      <c r="AL14" s="12" t="n">
        <f aca="false">IFERROR('원자료(월별지수)'!AO14/'원자료(월별지수)'!AN14-1,"")</f>
        <v>0.431081956592161</v>
      </c>
      <c r="AM14" s="12" t="n">
        <f aca="false">IFERROR('원자료(월별지수)'!AP14/'원자료(월별지수)'!AO14-1,"")</f>
        <v>0.139267726783996</v>
      </c>
      <c r="AN14" s="12" t="n">
        <f aca="false">IFERROR('원자료(월별지수)'!AQ14/'원자료(월별지수)'!AP14-1,"")</f>
        <v>-0.0441585535465924</v>
      </c>
      <c r="AO14" s="12" t="n">
        <f aca="false">IFERROR('원자료(월별지수)'!AR14/'원자료(월별지수)'!AQ14-1,"")</f>
        <v>-0.423010965026243</v>
      </c>
      <c r="AP14" s="12" t="n">
        <f aca="false">IFERROR('원자료(월별지수)'!AS14/'원자료(월별지수)'!AR14-1,"")</f>
        <v>-0.41637395298568</v>
      </c>
      <c r="AQ14" s="12" t="n">
        <f aca="false">IFERROR('원자료(월별지수)'!AT14/'원자료(월별지수)'!AS14-1,"")</f>
        <v>-0.175771604938272</v>
      </c>
      <c r="AR14" s="12" t="n">
        <f aca="false">IFERROR('원자료(월별지수)'!AU14/'원자료(월별지수)'!AT14-1,"")</f>
        <v>0.489421456656057</v>
      </c>
      <c r="AS14" s="12" t="n">
        <f aca="false">IFERROR('원자료(월별지수)'!AV14/'원자료(월별지수)'!AU14-1,"")</f>
        <v>0.410936517913262</v>
      </c>
      <c r="AT14" s="12" t="n">
        <f aca="false">IFERROR('원자료(월별지수)'!AW14/'원자료(월별지수)'!AV14-1,"")</f>
        <v>0.214896650035638</v>
      </c>
      <c r="AU14" s="12" t="n">
        <f aca="false">IFERROR('원자료(월별지수)'!AX14/'원자료(월별지수)'!AW14-1,"")</f>
        <v>0.0548547961278967</v>
      </c>
      <c r="AV14" s="12" t="n">
        <f aca="false">IFERROR('원자료(월별지수)'!AY14/'원자료(월별지수)'!AX14-1,"")</f>
        <v>-0.208217463848721</v>
      </c>
      <c r="AW14" s="12" t="n">
        <f aca="false">IFERROR('원자료(월별지수)'!AZ14/'원자료(월별지수)'!AY14-1,"")</f>
        <v>0.022741241548863</v>
      </c>
      <c r="AX14" s="12" t="n">
        <f aca="false">IFERROR('원자료(월별지수)'!BA14/'원자료(월별지수)'!AZ14-1,"")</f>
        <v>0.290178571428571</v>
      </c>
      <c r="AY14" s="12" t="n">
        <f aca="false">IFERROR('원자료(월별지수)'!BB14/'원자료(월별지수)'!BA14-1,"")</f>
        <v>-0.0134415757253128</v>
      </c>
      <c r="AZ14" s="12" t="n">
        <f aca="false">IFERROR('원자료(월별지수)'!BC14/'원자료(월별지수)'!BB14-1,"")</f>
        <v>-0.0853230810737892</v>
      </c>
      <c r="BA14" s="12" t="n">
        <f aca="false">IFERROR('원자료(월별지수)'!BD14/'원자료(월별지수)'!BC14-1,"")</f>
        <v>-0.384116215618317</v>
      </c>
      <c r="BB14" s="12" t="n">
        <f aca="false">IFERROR('원자료(월별지수)'!BE14/'원자료(월별지수)'!BD14-1,"")</f>
        <v>-0.011374521072797</v>
      </c>
      <c r="BC14" s="12" t="n">
        <f aca="false">IFERROR('원자료(월별지수)'!BF14/'원자료(월별지수)'!BE14-1,"")</f>
        <v>0.0445682451253482</v>
      </c>
      <c r="BD14" s="12" t="n">
        <f aca="false">IFERROR('원자료(월별지수)'!BG14/'원자료(월별지수)'!BF14-1,"")</f>
        <v>-0.268753623188406</v>
      </c>
      <c r="BE14" s="12" t="n">
        <f aca="false">IFERROR('원자료(월별지수)'!BH14/'원자료(월별지수)'!BG14-1,"")</f>
        <v>0.452830188679245</v>
      </c>
      <c r="BF14" s="12" t="n">
        <f aca="false">IFERROR('원자료(월별지수)'!BI14/'원자료(월별지수)'!BH14-1,"")</f>
        <v>0.184655680454</v>
      </c>
      <c r="BG14" s="12" t="n">
        <f aca="false">IFERROR('원자료(월별지수)'!BJ14/'원자료(월별지수)'!BI14-1,"")</f>
        <v>0.0833717181022571</v>
      </c>
      <c r="BH14" s="12" t="n">
        <f aca="false">IFERROR('원자료(월별지수)'!BK14/'원자료(월별지수)'!BJ14-1,"")</f>
        <v>-0.216156462585034</v>
      </c>
      <c r="BI14" s="12" t="n">
        <f aca="false">IFERROR('원자료(월별지수)'!BL14/'원자료(월별지수)'!BK14-1,"")</f>
        <v>0.0548926014319808</v>
      </c>
      <c r="BJ14" s="12" t="n">
        <f aca="false">IFERROR('원자료(월별지수)'!BM14/'원자료(월별지수)'!BL14-1,"")</f>
        <v>0.413615795968737</v>
      </c>
      <c r="BK14" s="12" t="n">
        <f aca="false">IFERROR('원자료(월별지수)'!BN14/'원자료(월별지수)'!BM14-1,"")</f>
        <v>0.0527426160337552</v>
      </c>
      <c r="BL14" s="12" t="n">
        <f aca="false">IFERROR('원자료(월별지수)'!BO14/'원자료(월별지수)'!BN14-1,"")</f>
        <v>-0.268122451800152</v>
      </c>
      <c r="BM14" s="12" t="n">
        <f aca="false">IFERROR('원자료(월별지수)'!BP14/'원자료(월별지수)'!BO14-1,"")</f>
        <v>-0.331696723633274</v>
      </c>
      <c r="BN14" s="12" t="n">
        <f aca="false">IFERROR('원자료(월별지수)'!BQ14/'원자료(월별지수)'!BP14-1,"")</f>
        <v>-0.285250070641424</v>
      </c>
    </row>
    <row r="15" customFormat="false" ht="15" hidden="false" customHeight="false" outlineLevel="0" collapsed="false">
      <c r="A15" s="8" t="s">
        <v>93</v>
      </c>
      <c r="B15" s="9" t="s">
        <v>102</v>
      </c>
      <c r="C15" s="12" t="n">
        <f aca="false">IFERROR('원자료(월별지수)'!F15/'원자료(월별지수)'!E15-1,"")</f>
        <v>-0.141839762611276</v>
      </c>
      <c r="D15" s="12" t="n">
        <f aca="false">IFERROR('원자료(월별지수)'!G15/'원자료(월별지수)'!F15-1,"")</f>
        <v>0.274550484094052</v>
      </c>
      <c r="E15" s="12" t="n">
        <f aca="false">IFERROR('원자료(월별지수)'!H15/'원자료(월별지수)'!G15-1,"")</f>
        <v>-0.0915174534273829</v>
      </c>
      <c r="F15" s="12" t="n">
        <f aca="false">IFERROR('원자료(월별지수)'!I15/'원자료(월별지수)'!H15-1,"")</f>
        <v>-0.304101134780012</v>
      </c>
      <c r="G15" s="12" t="n">
        <f aca="false">IFERROR('원자료(월별지수)'!J15/'원자료(월별지수)'!I15-1,"")</f>
        <v>-0.12315834644543</v>
      </c>
      <c r="H15" s="12" t="n">
        <f aca="false">IFERROR('원자료(월별지수)'!K15/'원자료(월별지수)'!J15-1,"")</f>
        <v>0.344371941272431</v>
      </c>
      <c r="I15" s="12" t="n">
        <f aca="false">IFERROR('원자료(월별지수)'!L15/'원자료(월별지수)'!K15-1,"")</f>
        <v>-0.00497512437810943</v>
      </c>
      <c r="J15" s="12" t="n">
        <f aca="false">IFERROR('원자료(월별지수)'!M15/'원자료(월별지수)'!L15-1,"")</f>
        <v>0.0697560975609757</v>
      </c>
      <c r="K15" s="12" t="n">
        <f aca="false">IFERROR('원자료(월별지수)'!N15/'원자료(월별지수)'!M15-1,"")</f>
        <v>-0.0856133150934794</v>
      </c>
      <c r="L15" s="12" t="n">
        <f aca="false">IFERROR('원자료(월별지수)'!O15/'원자료(월별지수)'!N15-1,"")</f>
        <v>0.467522752773968</v>
      </c>
      <c r="M15" s="12" t="n">
        <f aca="false">IFERROR('원자료(월별지수)'!P15/'원자료(월별지수)'!O15-1,"")</f>
        <v>-0.0544558661116302</v>
      </c>
      <c r="N15" s="12" t="n">
        <f aca="false">IFERROR('원자료(월별지수)'!Q15/'원자료(월별지수)'!P15-1,"")</f>
        <v>0.12785265049416</v>
      </c>
      <c r="O15" s="12" t="n">
        <f aca="false">IFERROR('원자료(월별지수)'!R15/'원자료(월별지수)'!Q15-1,"")</f>
        <v>-0.168565283199235</v>
      </c>
      <c r="P15" s="12" t="n">
        <f aca="false">IFERROR('원자료(월별지수)'!S15/'원자료(월별지수)'!R15-1,"")</f>
        <v>0.122065727699531</v>
      </c>
      <c r="Q15" s="12" t="n">
        <f aca="false">IFERROR('원자료(월별지수)'!T15/'원자료(월별지수)'!S15-1,"")</f>
        <v>-0.222525830415848</v>
      </c>
      <c r="R15" s="12" t="n">
        <f aca="false">IFERROR('원자료(월별지수)'!U15/'원자료(월별지수)'!T15-1,"")</f>
        <v>-0.130038440417353</v>
      </c>
      <c r="S15" s="12" t="n">
        <f aca="false">IFERROR('원자료(월별지수)'!V15/'원자료(월별지수)'!U15-1,"")</f>
        <v>-0.0475950006312333</v>
      </c>
      <c r="T15" s="12" t="n">
        <f aca="false">IFERROR('원자료(월별지수)'!W15/'원자료(월별지수)'!V15-1,"")</f>
        <v>0.237937433722163</v>
      </c>
      <c r="U15" s="12" t="n">
        <f aca="false">IFERROR('원자료(월별지수)'!X15/'원자료(월별지수)'!W15-1,"")</f>
        <v>0.220794517614306</v>
      </c>
      <c r="V15" s="12" t="n">
        <f aca="false">IFERROR('원자료(월별지수)'!Y15/'원자료(월별지수)'!X15-1,"")</f>
        <v>0.187965967897553</v>
      </c>
      <c r="W15" s="12" t="n">
        <f aca="false">IFERROR('원자료(월별지수)'!Z15/'원자료(월별지수)'!Y15-1,"")</f>
        <v>0.0288688718251624</v>
      </c>
      <c r="X15" s="12" t="n">
        <f aca="false">IFERROR('원자료(월별지수)'!AA15/'원자료(월별지수)'!Z15-1,"")</f>
        <v>-0.295084320057409</v>
      </c>
      <c r="Y15" s="12" t="n">
        <f aca="false">IFERROR('원자료(월별지수)'!AB15/'원자료(월별지수)'!AA15-1,"")</f>
        <v>-0.179273134480301</v>
      </c>
      <c r="Z15" s="12" t="n">
        <f aca="false">IFERROR('원자료(월별지수)'!AC15/'원자료(월별지수)'!AB15-1,"")</f>
        <v>0.112875217067725</v>
      </c>
      <c r="AA15" s="12" t="n">
        <f aca="false">IFERROR('원자료(월별지수)'!AD15/'원자료(월별지수)'!AC15-1,"")</f>
        <v>0.24699063753901</v>
      </c>
      <c r="AB15" s="12" t="n">
        <f aca="false">IFERROR('원자료(월별지수)'!AE15/'원자료(월별지수)'!AD15-1,"")</f>
        <v>0.0428137289953523</v>
      </c>
      <c r="AC15" s="12" t="n">
        <f aca="false">IFERROR('원자료(월별지수)'!AF15/'원자료(월별지수)'!AE15-1,"")</f>
        <v>-0.195508699751436</v>
      </c>
      <c r="AD15" s="12" t="n">
        <f aca="false">IFERROR('원자료(월별지수)'!AG15/'원자료(월별지수)'!AF15-1,"")</f>
        <v>-0.137438738546772</v>
      </c>
      <c r="AE15" s="12" t="n">
        <f aca="false">IFERROR('원자료(월별지수)'!AH15/'원자료(월별지수)'!AG15-1,"")</f>
        <v>-0.0116106719367589</v>
      </c>
      <c r="AF15" s="12" t="n">
        <f aca="false">IFERROR('원자료(월별지수)'!AI15/'원자료(월별지수)'!AH15-1,"")</f>
        <v>0.201699575106223</v>
      </c>
      <c r="AG15" s="12" t="n">
        <f aca="false">IFERROR('원자료(월별지수)'!AJ15/'원자료(월별지수)'!AI15-1,"")</f>
        <v>0.262063227953411</v>
      </c>
      <c r="AH15" s="12" t="n">
        <f aca="false">IFERROR('원자료(월별지수)'!AK15/'원자료(월별지수)'!AJ15-1,"")</f>
        <v>0.402933421226104</v>
      </c>
      <c r="AI15" s="12" t="n">
        <f aca="false">IFERROR('원자료(월별지수)'!AL15/'원자료(월별지수)'!AK15-1,"")</f>
        <v>-0.0327146716786092</v>
      </c>
      <c r="AJ15" s="12" t="n">
        <f aca="false">IFERROR('원자료(월별지수)'!AM15/'원자료(월별지수)'!AL15-1,"")</f>
        <v>-0.266075657295525</v>
      </c>
      <c r="AK15" s="12" t="n">
        <f aca="false">IFERROR('원자료(월별지수)'!AN15/'원자료(월별지수)'!AM15-1,"")</f>
        <v>0.0790105071564489</v>
      </c>
      <c r="AL15" s="12" t="n">
        <f aca="false">IFERROR('원자료(월별지수)'!AO15/'원자료(월별지수)'!AN15-1,"")</f>
        <v>0.100214690998313</v>
      </c>
      <c r="AM15" s="12" t="n">
        <f aca="false">IFERROR('원자료(월별지수)'!AP15/'원자료(월별지수)'!AO15-1,"")</f>
        <v>0.0770785420586801</v>
      </c>
      <c r="AN15" s="12" t="n">
        <f aca="false">IFERROR('원자료(월별지수)'!AQ15/'원자료(월별지수)'!AP15-1,"")</f>
        <v>0.0490456163054027</v>
      </c>
      <c r="AO15" s="12" t="n">
        <f aca="false">IFERROR('원자료(월별지수)'!AR15/'원자료(월별지수)'!AQ15-1,"")</f>
        <v>-0.104669092703386</v>
      </c>
      <c r="AP15" s="12" t="n">
        <f aca="false">IFERROR('원자료(월별지수)'!AS15/'원자료(월별지수)'!AR15-1,"")</f>
        <v>-0.217208597409755</v>
      </c>
      <c r="AQ15" s="12" t="n">
        <f aca="false">IFERROR('원자료(월별지수)'!AT15/'원자료(월별지수)'!AS15-1,"")</f>
        <v>-0.267182962245886</v>
      </c>
      <c r="AR15" s="12" t="n">
        <f aca="false">IFERROR('원자료(월별지수)'!AU15/'원자료(월별지수)'!AT15-1,"")</f>
        <v>-0.0404707577759096</v>
      </c>
      <c r="AS15" s="12" t="n">
        <f aca="false">IFERROR('원자료(월별지수)'!AV15/'원자료(월별지수)'!AU15-1,"")</f>
        <v>0.276470588235294</v>
      </c>
      <c r="AT15" s="12" t="n">
        <f aca="false">IFERROR('원자료(월별지수)'!AW15/'원자료(월별지수)'!AV15-1,"")</f>
        <v>0.511128542013923</v>
      </c>
      <c r="AU15" s="12" t="n">
        <f aca="false">IFERROR('원자료(월별지수)'!AX15/'원자료(월별지수)'!AW15-1,"")</f>
        <v>0.242862704386193</v>
      </c>
      <c r="AV15" s="12" t="n">
        <f aca="false">IFERROR('원자료(월별지수)'!AY15/'원자료(월별지수)'!AX15-1,"")</f>
        <v>-0.194309579744192</v>
      </c>
      <c r="AW15" s="12" t="n">
        <f aca="false">IFERROR('원자료(월별지수)'!AZ15/'원자료(월별지수)'!AY15-1,"")</f>
        <v>-0.12939804315428</v>
      </c>
      <c r="AX15" s="12" t="n">
        <f aca="false">IFERROR('원자료(월별지수)'!BA15/'원자료(월별지수)'!AZ15-1,"")</f>
        <v>-0.177582613873177</v>
      </c>
      <c r="AY15" s="12" t="n">
        <f aca="false">IFERROR('원자료(월별지수)'!BB15/'원자료(월별지수)'!BA15-1,"")</f>
        <v>0.0872398190045249</v>
      </c>
      <c r="AZ15" s="12" t="n">
        <f aca="false">IFERROR('원자료(월별지수)'!BC15/'원자료(월별지수)'!BB15-1,"")</f>
        <v>0.00582653570834024</v>
      </c>
      <c r="BA15" s="12" t="n">
        <f aca="false">IFERROR('원자료(월별지수)'!BD15/'원자료(월별지수)'!BC15-1,"")</f>
        <v>-0.141095663687521</v>
      </c>
      <c r="BB15" s="12" t="n">
        <f aca="false">IFERROR('원자료(월별지수)'!BE15/'원자료(월별지수)'!BD15-1,"")</f>
        <v>-0.220445129588592</v>
      </c>
      <c r="BC15" s="12" t="n">
        <f aca="false">IFERROR('원자료(월별지수)'!BF15/'원자료(월별지수)'!BE15-1,"")</f>
        <v>-0.0924483994561858</v>
      </c>
      <c r="BD15" s="12" t="n">
        <f aca="false">IFERROR('원자료(월별지수)'!BG15/'원자료(월별지수)'!BF15-1,"")</f>
        <v>0.183303826773798</v>
      </c>
      <c r="BE15" s="12" t="n">
        <f aca="false">IFERROR('원자료(월별지수)'!BH15/'원자료(월별지수)'!BG15-1,"")</f>
        <v>0.171481183105076</v>
      </c>
      <c r="BF15" s="12" t="n">
        <f aca="false">IFERROR('원자료(월별지수)'!BI15/'원자료(월별지수)'!BH15-1,"")</f>
        <v>0.270851753610374</v>
      </c>
      <c r="BG15" s="12" t="n">
        <f aca="false">IFERROR('원자료(월별지수)'!BJ15/'원자료(월별지수)'!BI15-1,"")</f>
        <v>-0.115568954854669</v>
      </c>
      <c r="BH15" s="12" t="n">
        <f aca="false">IFERROR('원자료(월별지수)'!BK15/'원자료(월별지수)'!BJ15-1,"")</f>
        <v>0.189319115461935</v>
      </c>
      <c r="BI15" s="12" t="n">
        <f aca="false">IFERROR('원자료(월별지수)'!BL15/'원자료(월별지수)'!BK15-1,"")</f>
        <v>-0.208569118835893</v>
      </c>
      <c r="BJ15" s="12" t="n">
        <f aca="false">IFERROR('원자료(월별지수)'!BM15/'원자료(월별지수)'!BL15-1,"")</f>
        <v>-0.075958770545083</v>
      </c>
      <c r="BK15" s="12" t="n">
        <f aca="false">IFERROR('원자료(월별지수)'!BN15/'원자료(월별지수)'!BM15-1,"")</f>
        <v>0.0180886343081097</v>
      </c>
      <c r="BL15" s="12" t="n">
        <f aca="false">IFERROR('원자료(월별지수)'!BO15/'원자료(월별지수)'!BN15-1,"")</f>
        <v>0.0177672490376073</v>
      </c>
      <c r="BM15" s="12" t="n">
        <f aca="false">IFERROR('원자료(월별지수)'!BP15/'원자료(월별지수)'!BO15-1,"")</f>
        <v>-0.116089613034623</v>
      </c>
      <c r="BN15" s="12" t="n">
        <f aca="false">IFERROR('원자료(월별지수)'!BQ15/'원자료(월별지수)'!BP15-1,"")</f>
        <v>-0.130239192451174</v>
      </c>
    </row>
    <row r="16" customFormat="false" ht="15" hidden="false" customHeight="false" outlineLevel="0" collapsed="false">
      <c r="A16" s="8" t="s">
        <v>103</v>
      </c>
      <c r="B16" s="9" t="s">
        <v>104</v>
      </c>
      <c r="C16" s="12" t="n">
        <f aca="false">IFERROR('원자료(월별지수)'!F16/'원자료(월별지수)'!E16-1,"")</f>
        <v>-0.148549922514943</v>
      </c>
      <c r="D16" s="12" t="n">
        <f aca="false">IFERROR('원자료(월별지수)'!G16/'원자료(월별지수)'!F16-1,"")</f>
        <v>-0.258797018547409</v>
      </c>
      <c r="E16" s="12" t="n">
        <f aca="false">IFERROR('원자료(월별지수)'!H16/'원자료(월별지수)'!G16-1,"")</f>
        <v>-0.316534144059869</v>
      </c>
      <c r="F16" s="12" t="n">
        <f aca="false">IFERROR('원자료(월별지수)'!I16/'원자료(월별지수)'!H16-1,"")</f>
        <v>0.189392643284859</v>
      </c>
      <c r="G16" s="12" t="n">
        <f aca="false">IFERROR('원자료(월별지수)'!J16/'원자료(월별지수)'!I16-1,"")</f>
        <v>0</v>
      </c>
      <c r="H16" s="12" t="n">
        <f aca="false">IFERROR('원자료(월별지수)'!K16/'원자료(월별지수)'!J16-1,"")</f>
        <v>0</v>
      </c>
      <c r="I16" s="12" t="n">
        <f aca="false">IFERROR('원자료(월별지수)'!L16/'원자료(월별지수)'!K16-1,"")</f>
        <v>0</v>
      </c>
      <c r="J16" s="12" t="n">
        <f aca="false">IFERROR('원자료(월별지수)'!M16/'원자료(월별지수)'!L16-1,"")</f>
        <v>0</v>
      </c>
      <c r="K16" s="12" t="n">
        <f aca="false">IFERROR('원자료(월별지수)'!N16/'원자료(월별지수)'!M16-1,"")</f>
        <v>0</v>
      </c>
      <c r="L16" s="12" t="n">
        <f aca="false">IFERROR('원자료(월별지수)'!O16/'원자료(월별지수)'!N16-1,"")</f>
        <v>0</v>
      </c>
      <c r="M16" s="12" t="n">
        <f aca="false">IFERROR('원자료(월별지수)'!P16/'원자료(월별지수)'!O16-1,"")</f>
        <v>1.72425201380898</v>
      </c>
      <c r="N16" s="12" t="n">
        <f aca="false">IFERROR('원자료(월별지수)'!Q16/'원자료(월별지수)'!P16-1,"")</f>
        <v>0.10063889328898</v>
      </c>
      <c r="O16" s="12" t="n">
        <f aca="false">IFERROR('원자료(월별지수)'!R16/'원자료(월별지수)'!Q16-1,"")</f>
        <v>-0.447109618613576</v>
      </c>
      <c r="P16" s="12" t="n">
        <f aca="false">IFERROR('원자료(월별지수)'!S16/'원자료(월별지수)'!R16-1,"")</f>
        <v>-0.271409978308026</v>
      </c>
      <c r="Q16" s="12" t="n">
        <f aca="false">IFERROR('원자료(월별지수)'!T16/'원자료(월별지수)'!S16-1,"")</f>
        <v>-0.204477789686793</v>
      </c>
      <c r="R16" s="12" t="n">
        <f aca="false">IFERROR('원자료(월별지수)'!U16/'원자료(월별지수)'!T16-1,"")</f>
        <v>-0.14940119760479</v>
      </c>
      <c r="S16" s="12" t="n">
        <f aca="false">IFERROR('원자료(월별지수)'!V16/'원자료(월별지수)'!U16-1,"")</f>
        <v>0</v>
      </c>
      <c r="T16" s="12" t="n">
        <f aca="false">IFERROR('원자료(월별지수)'!W16/'원자료(월별지수)'!V16-1,"")</f>
        <v>0</v>
      </c>
      <c r="U16" s="12" t="n">
        <f aca="false">IFERROR('원자료(월별지수)'!X16/'원자료(월별지수)'!W16-1,"")</f>
        <v>0</v>
      </c>
      <c r="V16" s="12" t="n">
        <f aca="false">IFERROR('원자료(월별지수)'!Y16/'원자료(월별지수)'!X16-1,"")</f>
        <v>0</v>
      </c>
      <c r="W16" s="12" t="n">
        <f aca="false">IFERROR('원자료(월별지수)'!Z16/'원자료(월별지수)'!Y16-1,"")</f>
        <v>0</v>
      </c>
      <c r="X16" s="12" t="n">
        <f aca="false">IFERROR('원자료(월별지수)'!AA16/'원자료(월별지수)'!Z16-1,"")</f>
        <v>0</v>
      </c>
      <c r="Y16" s="12" t="n">
        <f aca="false">IFERROR('원자료(월별지수)'!AB16/'원자료(월별지수)'!AA16-1,"")</f>
        <v>1.98996832101373</v>
      </c>
      <c r="Z16" s="12" t="n">
        <f aca="false">IFERROR('원자료(월별지수)'!AC16/'원자료(월별지수)'!AB16-1,"")</f>
        <v>-0.106304079110012</v>
      </c>
      <c r="AA16" s="12" t="n">
        <f aca="false">IFERROR('원자료(월별지수)'!AD16/'원자료(월별지수)'!AC16-1,"")</f>
        <v>-0.171968649147072</v>
      </c>
      <c r="AB16" s="12" t="n">
        <f aca="false">IFERROR('원자료(월별지수)'!AE16/'원자료(월별지수)'!AD16-1,"")</f>
        <v>-0.313792554883869</v>
      </c>
      <c r="AC16" s="12" t="n">
        <f aca="false">IFERROR('원자료(월별지수)'!AF16/'원자료(월별지수)'!AE16-1,"")</f>
        <v>-0.0907615625362235</v>
      </c>
      <c r="AD16" s="12" t="n">
        <f aca="false">IFERROR('원자료(월별지수)'!AG16/'원자료(월별지수)'!AF16-1,"")</f>
        <v>0.00127485976542596</v>
      </c>
      <c r="AE16" s="12" t="n">
        <f aca="false">IFERROR('원자료(월별지수)'!AH16/'원자료(월별지수)'!AG16-1,"")</f>
        <v>0</v>
      </c>
      <c r="AF16" s="12" t="n">
        <f aca="false">IFERROR('원자료(월별지수)'!AI16/'원자료(월별지수)'!AH16-1,"")</f>
        <v>0</v>
      </c>
      <c r="AG16" s="12" t="n">
        <f aca="false">IFERROR('원자료(월별지수)'!AJ16/'원자료(월별지수)'!AI16-1,"")</f>
        <v>0</v>
      </c>
      <c r="AH16" s="12" t="n">
        <f aca="false">IFERROR('원자료(월별지수)'!AK16/'원자료(월별지수)'!AJ16-1,"")</f>
        <v>0</v>
      </c>
      <c r="AI16" s="12" t="n">
        <f aca="false">IFERROR('원자료(월별지수)'!AL16/'원자료(월별지수)'!AK16-1,"")</f>
        <v>0</v>
      </c>
      <c r="AJ16" s="12" t="n">
        <f aca="false">IFERROR('원자료(월별지수)'!AM16/'원자료(월별지수)'!AL16-1,"")</f>
        <v>0</v>
      </c>
      <c r="AK16" s="12" t="n">
        <f aca="false">IFERROR('원자료(월별지수)'!AN16/'원자료(월별지수)'!AM16-1,"")</f>
        <v>1.54074357015534</v>
      </c>
      <c r="AL16" s="12" t="n">
        <f aca="false">IFERROR('원자료(월별지수)'!AO16/'원자료(월별지수)'!AN16-1,"")</f>
        <v>-0.0422951641192684</v>
      </c>
      <c r="AM16" s="12" t="n">
        <f aca="false">IFERROR('원자료(월별지수)'!AP16/'원자료(월별지수)'!AO16-1,"")</f>
        <v>-0.161425357124169</v>
      </c>
      <c r="AN16" s="12" t="n">
        <f aca="false">IFERROR('원자료(월별지수)'!AQ16/'원자료(월별지수)'!AP16-1,"")</f>
        <v>-0.25452389866467</v>
      </c>
      <c r="AO16" s="12" t="n">
        <f aca="false">IFERROR('원자료(월별지수)'!AR16/'원자료(월별지수)'!AQ16-1,"")</f>
        <v>-0.20892274211099</v>
      </c>
      <c r="AP16" s="12" t="n">
        <f aca="false">IFERROR('원자료(월별지수)'!AS16/'원자료(월별지수)'!AR16-1,"")</f>
        <v>-0.0847529361972279</v>
      </c>
      <c r="AQ16" s="12" t="n">
        <f aca="false">IFERROR('원자료(월별지수)'!AT16/'원자료(월별지수)'!AS16-1,"")</f>
        <v>0</v>
      </c>
      <c r="AR16" s="12" t="n">
        <f aca="false">IFERROR('원자료(월별지수)'!AU16/'원자료(월별지수)'!AT16-1,"")</f>
        <v>0</v>
      </c>
      <c r="AS16" s="12" t="n">
        <f aca="false">IFERROR('원자료(월별지수)'!AV16/'원자료(월별지수)'!AU16-1,"")</f>
        <v>0</v>
      </c>
      <c r="AT16" s="12" t="n">
        <f aca="false">IFERROR('원자료(월별지수)'!AW16/'원자료(월별지수)'!AV16-1,"")</f>
        <v>0</v>
      </c>
      <c r="AU16" s="12" t="n">
        <f aca="false">IFERROR('원자료(월별지수)'!AX16/'원자료(월별지수)'!AW16-1,"")</f>
        <v>0</v>
      </c>
      <c r="AV16" s="12" t="n">
        <f aca="false">IFERROR('원자료(월별지수)'!AY16/'원자료(월별지수)'!AX16-1,"")</f>
        <v>0</v>
      </c>
      <c r="AW16" s="12" t="n">
        <f aca="false">IFERROR('원자료(월별지수)'!AZ16/'원자료(월별지수)'!AY16-1,"")</f>
        <v>0</v>
      </c>
      <c r="AX16" s="12" t="n">
        <f aca="false">IFERROR('원자료(월별지수)'!BA16/'원자료(월별지수)'!AZ16-1,"")</f>
        <v>0.576994219653179</v>
      </c>
      <c r="AY16" s="12" t="n">
        <f aca="false">IFERROR('원자료(월별지수)'!BB16/'원자료(월별지수)'!BA16-1,"")</f>
        <v>-0.0715490066710651</v>
      </c>
      <c r="AZ16" s="12" t="n">
        <f aca="false">IFERROR('원자료(월별지수)'!BC16/'원자료(월별지수)'!BB16-1,"")</f>
        <v>-0.312198973549151</v>
      </c>
      <c r="BA16" s="12" t="n">
        <f aca="false">IFERROR('원자료(월별지수)'!BD16/'원자료(월별지수)'!BC16-1,"")</f>
        <v>-0.0586614625186546</v>
      </c>
      <c r="BB16" s="12" t="n">
        <f aca="false">IFERROR('원자료(월별지수)'!BE16/'원자료(월별지수)'!BD16-1,"")</f>
        <v>0</v>
      </c>
      <c r="BC16" s="12" t="n">
        <f aca="false">IFERROR('원자료(월별지수)'!BF16/'원자료(월별지수)'!BE16-1,"")</f>
        <v>0</v>
      </c>
      <c r="BD16" s="12" t="n">
        <f aca="false">IFERROR('원자료(월별지수)'!BG16/'원자료(월별지수)'!BF16-1,"")</f>
        <v>0</v>
      </c>
      <c r="BE16" s="12" t="n">
        <f aca="false">IFERROR('원자료(월별지수)'!BH16/'원자료(월별지수)'!BG16-1,"")</f>
        <v>0</v>
      </c>
      <c r="BF16" s="12" t="n">
        <f aca="false">IFERROR('원자료(월별지수)'!BI16/'원자료(월별지수)'!BH16-1,"")</f>
        <v>0</v>
      </c>
      <c r="BG16" s="12" t="n">
        <f aca="false">IFERROR('원자료(월별지수)'!BJ16/'원자료(월별지수)'!BI16-1,"")</f>
        <v>0</v>
      </c>
      <c r="BH16" s="12" t="n">
        <f aca="false">IFERROR('원자료(월별지수)'!BK16/'원자료(월별지수)'!BJ16-1,"")</f>
        <v>0</v>
      </c>
      <c r="BI16" s="12" t="n">
        <f aca="false">IFERROR('원자료(월별지수)'!BL16/'원자료(월별지수)'!BK16-1,"")</f>
        <v>1.46817073170732</v>
      </c>
      <c r="BJ16" s="12" t="n">
        <f aca="false">IFERROR('원자료(월별지수)'!BM16/'원자료(월별지수)'!BL16-1,"")</f>
        <v>-0.115815998814171</v>
      </c>
      <c r="BK16" s="12" t="n">
        <f aca="false">IFERROR('원자료(월별지수)'!BN16/'원자료(월별지수)'!BM16-1,"")</f>
        <v>-0.18262084381112</v>
      </c>
      <c r="BL16" s="12" t="n">
        <f aca="false">IFERROR('원자료(월별지수)'!BO16/'원자료(월별지수)'!BN16-1,"")</f>
        <v>-0.424694058932112</v>
      </c>
      <c r="BM16" s="12" t="n">
        <f aca="false">IFERROR('원자료(월별지수)'!BP16/'원자료(월별지수)'!BO16-1,"")</f>
        <v>-0.172905525846703</v>
      </c>
      <c r="BN16" s="12" t="n">
        <f aca="false">IFERROR('원자료(월별지수)'!BQ16/'원자료(월별지수)'!BP16-1,"")</f>
        <v>0</v>
      </c>
    </row>
    <row r="17" customFormat="false" ht="15" hidden="false" customHeight="false" outlineLevel="0" collapsed="false">
      <c r="A17" s="8" t="s">
        <v>103</v>
      </c>
      <c r="B17" s="9" t="s">
        <v>105</v>
      </c>
      <c r="C17" s="12" t="n">
        <f aca="false">IFERROR('원자료(월별지수)'!F17/'원자료(월별지수)'!E17-1,"")</f>
        <v>-0.015735411961827</v>
      </c>
      <c r="D17" s="12" t="n">
        <f aca="false">IFERROR('원자료(월별지수)'!G17/'원자료(월별지수)'!F17-1,"")</f>
        <v>-0.0184294278735846</v>
      </c>
      <c r="E17" s="12" t="n">
        <f aca="false">IFERROR('원자료(월별지수)'!H17/'원자료(월별지수)'!G17-1,"")</f>
        <v>-0.263911928819183</v>
      </c>
      <c r="F17" s="12" t="n">
        <f aca="false">IFERROR('원자료(월별지수)'!I17/'원자료(월별지수)'!H17-1,"")</f>
        <v>-0.17240319606638</v>
      </c>
      <c r="G17" s="12" t="n">
        <f aca="false">IFERROR('원자료(월별지수)'!J17/'원자료(월별지수)'!I17-1,"")</f>
        <v>-0.147790568139621</v>
      </c>
      <c r="H17" s="12" t="n">
        <f aca="false">IFERROR('원자료(월별지수)'!K17/'원자료(월별지수)'!J17-1,"")</f>
        <v>-0.007116920842411</v>
      </c>
      <c r="I17" s="12" t="n">
        <f aca="false">IFERROR('원자료(월별지수)'!L17/'원자료(월별지수)'!K17-1,"")</f>
        <v>0.267700409596255</v>
      </c>
      <c r="J17" s="12" t="n">
        <f aca="false">IFERROR('원자료(월별지수)'!M17/'원자료(월별지수)'!L17-1,"")</f>
        <v>0.295522732517886</v>
      </c>
      <c r="K17" s="12" t="n">
        <f aca="false">IFERROR('원자료(월별지수)'!N17/'원자료(월별지수)'!M17-1,"")</f>
        <v>-0.165939253585107</v>
      </c>
      <c r="L17" s="12" t="n">
        <f aca="false">IFERROR('원자료(월별지수)'!O17/'원자료(월별지수)'!N17-1,"")</f>
        <v>-0.327530969671081</v>
      </c>
      <c r="M17" s="12" t="n">
        <f aca="false">IFERROR('원자료(월별지수)'!P17/'원자료(월별지수)'!O17-1,"")</f>
        <v>0.323010957598857</v>
      </c>
      <c r="N17" s="12" t="n">
        <f aca="false">IFERROR('원자료(월별지수)'!Q17/'원자료(월별지수)'!P17-1,"")</f>
        <v>0.500660184851758</v>
      </c>
      <c r="O17" s="12" t="n">
        <f aca="false">IFERROR('원자료(월별지수)'!R17/'원자료(월별지수)'!Q17-1,"")</f>
        <v>0.0489521676531755</v>
      </c>
      <c r="P17" s="12" t="n">
        <f aca="false">IFERROR('원자료(월별지수)'!S17/'원자료(월별지수)'!R17-1,"")</f>
        <v>-0.229754460881501</v>
      </c>
      <c r="Q17" s="12" t="n">
        <f aca="false">IFERROR('원자료(월별지수)'!T17/'원자료(월별지수)'!S17-1,"")</f>
        <v>-0.195030195030195</v>
      </c>
      <c r="R17" s="12" t="n">
        <f aca="false">IFERROR('원자료(월별지수)'!U17/'원자료(월별지수)'!T17-1,"")</f>
        <v>0.0216455540523919</v>
      </c>
      <c r="S17" s="12" t="n">
        <f aca="false">IFERROR('원자료(월별지수)'!V17/'원자료(월별지수)'!U17-1,"")</f>
        <v>-0.342482243890695</v>
      </c>
      <c r="T17" s="12" t="n">
        <f aca="false">IFERROR('원자료(월별지수)'!W17/'원자료(월별지수)'!V17-1,"")</f>
        <v>0.179970706700842</v>
      </c>
      <c r="U17" s="12" t="n">
        <f aca="false">IFERROR('원자료(월별지수)'!X17/'원자료(월별지수)'!W17-1,"")</f>
        <v>1.33591931730023</v>
      </c>
      <c r="V17" s="12" t="n">
        <f aca="false">IFERROR('원자료(월별지수)'!Y17/'원자료(월별지수)'!X17-1,"")</f>
        <v>0.263899036864829</v>
      </c>
      <c r="W17" s="12" t="n">
        <f aca="false">IFERROR('원자료(월별지수)'!Z17/'원자료(월별지수)'!Y17-1,"")</f>
        <v>-0.445080933361362</v>
      </c>
      <c r="X17" s="12" t="n">
        <f aca="false">IFERROR('원자료(월별지수)'!AA17/'원자료(월별지수)'!Z17-1,"")</f>
        <v>-0.467089686523345</v>
      </c>
      <c r="Y17" s="12" t="n">
        <f aca="false">IFERROR('원자료(월별지수)'!AB17/'원자료(월별지수)'!AA17-1,"")</f>
        <v>0.30940110183046</v>
      </c>
      <c r="Z17" s="12" t="n">
        <f aca="false">IFERROR('원자료(월별지수)'!AC17/'원자료(월별지수)'!AB17-1,"")</f>
        <v>0.824239956568947</v>
      </c>
      <c r="AA17" s="12" t="n">
        <f aca="false">IFERROR('원자료(월별지수)'!AD17/'원자료(월별지수)'!AC17-1,"")</f>
        <v>0.0595937802246855</v>
      </c>
      <c r="AB17" s="12" t="n">
        <f aca="false">IFERROR('원자료(월별지수)'!AE17/'원자료(월별지수)'!AD17-1,"")</f>
        <v>-0.0663530403033281</v>
      </c>
      <c r="AC17" s="12" t="n">
        <f aca="false">IFERROR('원자료(월별지수)'!AF17/'원자료(월별지수)'!AE17-1,"")</f>
        <v>-0.245544107693465</v>
      </c>
      <c r="AD17" s="12" t="n">
        <f aca="false">IFERROR('원자료(월별지수)'!AG17/'원자료(월별지수)'!AF17-1,"")</f>
        <v>-0.0669856459330144</v>
      </c>
      <c r="AE17" s="12" t="n">
        <f aca="false">IFERROR('원자료(월별지수)'!AH17/'원자료(월별지수)'!AG17-1,"")</f>
        <v>-0.15715811965812</v>
      </c>
      <c r="AF17" s="12" t="n">
        <f aca="false">IFERROR('원자료(월별지수)'!AI17/'원자료(월별지수)'!AH17-1,"")</f>
        <v>-0.270122956014704</v>
      </c>
      <c r="AG17" s="12" t="n">
        <f aca="false">IFERROR('원자료(월별지수)'!AJ17/'원자료(월별지수)'!AI17-1,"")</f>
        <v>0.831017714484196</v>
      </c>
      <c r="AH17" s="12" t="n">
        <f aca="false">IFERROR('원자료(월별지수)'!AK17/'원자료(월별지수)'!AJ17-1,"")</f>
        <v>0.327231338328749</v>
      </c>
      <c r="AI17" s="12" t="n">
        <f aca="false">IFERROR('원자료(월별지수)'!AL17/'원자료(월별지수)'!AK17-1,"")</f>
        <v>-0.128064032016008</v>
      </c>
      <c r="AJ17" s="12" t="n">
        <f aca="false">IFERROR('원자료(월별지수)'!AM17/'원자료(월별지수)'!AL17-1,"")</f>
        <v>-0.449635275797066</v>
      </c>
      <c r="AK17" s="12" t="n">
        <f aca="false">IFERROR('원자료(월별지수)'!AN17/'원자료(월별지수)'!AM17-1,"")</f>
        <v>0.197766195085629</v>
      </c>
      <c r="AL17" s="12" t="n">
        <f aca="false">IFERROR('원자료(월별지수)'!AO17/'원자료(월별지수)'!AN17-1,"")</f>
        <v>0.814248414770608</v>
      </c>
      <c r="AM17" s="12" t="n">
        <f aca="false">IFERROR('원자료(월별지수)'!AP17/'원자료(월별지수)'!AO17-1,"")</f>
        <v>0.123081140350877</v>
      </c>
      <c r="AN17" s="12" t="n">
        <f aca="false">IFERROR('원자료(월별지수)'!AQ17/'원자료(월별지수)'!AP17-1,"")</f>
        <v>-0.0311203319502075</v>
      </c>
      <c r="AO17" s="12" t="n">
        <f aca="false">IFERROR('원자료(월별지수)'!AR17/'원자료(월별지수)'!AQ17-1,"")</f>
        <v>-0.234160473611286</v>
      </c>
      <c r="AP17" s="12" t="n">
        <f aca="false">IFERROR('원자료(월별지수)'!AS17/'원자료(월별지수)'!AR17-1,"")</f>
        <v>-0.431825657894737</v>
      </c>
      <c r="AQ17" s="12" t="n">
        <f aca="false">IFERROR('원자료(월별지수)'!AT17/'원자료(월별지수)'!AS17-1,"")</f>
        <v>-0.229989868287741</v>
      </c>
      <c r="AR17" s="12" t="n">
        <f aca="false">IFERROR('원자료(월별지수)'!AU17/'원자료(월별지수)'!AT17-1,"")</f>
        <v>-0.216917293233083</v>
      </c>
      <c r="AS17" s="12" t="n">
        <f aca="false">IFERROR('원자료(월별지수)'!AV17/'원자료(월별지수)'!AU17-1,"")</f>
        <v>1.37421987518003</v>
      </c>
      <c r="AT17" s="12" t="n">
        <f aca="false">IFERROR('원자료(월별지수)'!AW17/'원자료(월별지수)'!AV17-1,"")</f>
        <v>0.280153675058134</v>
      </c>
      <c r="AU17" s="12" t="n">
        <f aca="false">IFERROR('원자료(월별지수)'!AX17/'원자료(월별지수)'!AW17-1,"")</f>
        <v>-0.143105354604328</v>
      </c>
      <c r="AV17" s="12" t="n">
        <f aca="false">IFERROR('원자료(월별지수)'!AY17/'원자료(월별지수)'!AX17-1,"")</f>
        <v>-0.171520737327189</v>
      </c>
      <c r="AW17" s="12" t="n">
        <f aca="false">IFERROR('원자료(월별지수)'!AZ17/'원자료(월별지수)'!AY17-1,"")</f>
        <v>0.208588274557793</v>
      </c>
      <c r="AX17" s="12" t="n">
        <f aca="false">IFERROR('원자료(월별지수)'!BA17/'원자료(월별지수)'!AZ17-1,"")</f>
        <v>0.141844624447717</v>
      </c>
      <c r="AY17" s="12" t="n">
        <f aca="false">IFERROR('원자료(월별지수)'!BB17/'원자료(월별지수)'!BA17-1,"")</f>
        <v>0.0538492543329303</v>
      </c>
      <c r="AZ17" s="12" t="n">
        <f aca="false">IFERROR('원자료(월별지수)'!BC17/'원자료(월별지수)'!BB17-1,"")</f>
        <v>-0.0481144343302991</v>
      </c>
      <c r="BA17" s="12" t="n">
        <f aca="false">IFERROR('원자료(월별지수)'!BD17/'원자료(월별지수)'!BC17-1,"")</f>
        <v>-0.170765027322404</v>
      </c>
      <c r="BB17" s="12" t="n">
        <f aca="false">IFERROR('원자료(월별지수)'!BE17/'원자료(월별지수)'!BD17-1,"")</f>
        <v>-0.248182963465452</v>
      </c>
      <c r="BC17" s="12" t="n">
        <f aca="false">IFERROR('원자료(월별지수)'!BF17/'원자료(월별지수)'!BE17-1,"")</f>
        <v>-0.0895849445733437</v>
      </c>
      <c r="BD17" s="12" t="n">
        <f aca="false">IFERROR('원자료(월별지수)'!BG17/'원자료(월별지수)'!BF17-1,"")</f>
        <v>-0.215489168908396</v>
      </c>
      <c r="BE17" s="12" t="n">
        <f aca="false">IFERROR('원자료(월별지수)'!BH17/'원자료(월별지수)'!BG17-1,"")</f>
        <v>1.34957588882873</v>
      </c>
      <c r="BF17" s="12" t="n">
        <f aca="false">IFERROR('원자료(월별지수)'!BI17/'원자료(월별지수)'!BH17-1,"")</f>
        <v>-0.193947307780936</v>
      </c>
      <c r="BG17" s="12" t="n">
        <f aca="false">IFERROR('원자료(월별지수)'!BJ17/'원자료(월별지수)'!BI17-1,"")</f>
        <v>0.016295025728988</v>
      </c>
      <c r="BH17" s="12" t="n">
        <f aca="false">IFERROR('원자료(월별지수)'!BK17/'원자료(월별지수)'!BJ17-1,"")</f>
        <v>-0.166338490389123</v>
      </c>
      <c r="BI17" s="12" t="n">
        <f aca="false">IFERROR('원자료(월별지수)'!BL17/'원자료(월별지수)'!BK17-1,"")</f>
        <v>-0.113710493757733</v>
      </c>
      <c r="BJ17" s="12" t="n">
        <f aca="false">IFERROR('원자료(월별지수)'!BM17/'원자료(월별지수)'!BL17-1,"")</f>
        <v>0.242385786802031</v>
      </c>
      <c r="BK17" s="12" t="n">
        <f aca="false">IFERROR('원자료(월별지수)'!BN17/'원자료(월별지수)'!BM17-1,"")</f>
        <v>0.522880490296221</v>
      </c>
      <c r="BL17" s="12" t="n">
        <f aca="false">IFERROR('원자료(월별지수)'!BO17/'원자료(월별지수)'!BN17-1,"")</f>
        <v>-0.286337111811657</v>
      </c>
      <c r="BM17" s="12" t="n">
        <f aca="false">IFERROR('원자료(월별지수)'!BP17/'원자료(월별지수)'!BO17-1,"")</f>
        <v>-0.101691729323308</v>
      </c>
      <c r="BN17" s="12" t="n">
        <f aca="false">IFERROR('원자료(월별지수)'!BQ17/'원자료(월별지수)'!BP17-1,"")</f>
        <v>-0.136220966729441</v>
      </c>
    </row>
    <row r="18" customFormat="false" ht="15" hidden="false" customHeight="false" outlineLevel="0" collapsed="false">
      <c r="A18" s="8" t="s">
        <v>103</v>
      </c>
      <c r="B18" s="9" t="s">
        <v>106</v>
      </c>
      <c r="C18" s="12" t="n">
        <f aca="false">IFERROR('원자료(월별지수)'!F18/'원자료(월별지수)'!E18-1,"")</f>
        <v>-0.305937830815128</v>
      </c>
      <c r="D18" s="12" t="n">
        <f aca="false">IFERROR('원자료(월별지수)'!G18/'원자료(월별지수)'!F18-1,"")</f>
        <v>-0.110232945091514</v>
      </c>
      <c r="E18" s="12" t="n">
        <f aca="false">IFERROR('원자료(월별지수)'!H18/'원자료(월별지수)'!G18-1,"")</f>
        <v>0.0606202275206482</v>
      </c>
      <c r="F18" s="12" t="n">
        <f aca="false">IFERROR('원자료(월별지수)'!I18/'원자료(월별지수)'!H18-1,"")</f>
        <v>-0.0533352923890684</v>
      </c>
      <c r="G18" s="12" t="n">
        <f aca="false">IFERROR('원자료(월별지수)'!J18/'원자료(월별지수)'!I18-1,"")</f>
        <v>0.132391742976874</v>
      </c>
      <c r="H18" s="12" t="n">
        <f aca="false">IFERROR('원자료(월별지수)'!K18/'원자료(월별지수)'!J18-1,"")</f>
        <v>0.217379385964912</v>
      </c>
      <c r="I18" s="12" t="n">
        <f aca="false">IFERROR('원자료(월별지수)'!L18/'원자료(월별지수)'!K18-1,"")</f>
        <v>0.0535915334384149</v>
      </c>
      <c r="J18" s="12" t="n">
        <f aca="false">IFERROR('원자료(월별지수)'!M18/'원자료(월별지수)'!L18-1,"")</f>
        <v>-0.181876469331054</v>
      </c>
      <c r="K18" s="12" t="n">
        <f aca="false">IFERROR('원자료(월별지수)'!N18/'원자료(월별지수)'!M18-1,"")</f>
        <v>0.0433646812957156</v>
      </c>
      <c r="L18" s="12" t="n">
        <f aca="false">IFERROR('원자료(월별지수)'!O18/'원자료(월별지수)'!N18-1,"")</f>
        <v>0.108662994491738</v>
      </c>
      <c r="M18" s="12" t="n">
        <f aca="false">IFERROR('원자료(월별지수)'!P18/'원자료(월별지수)'!O18-1,"")</f>
        <v>-0.0764453477868111</v>
      </c>
      <c r="N18" s="12" t="n">
        <f aca="false">IFERROR('원자료(월별지수)'!Q18/'원자료(월별지수)'!P18-1,"")</f>
        <v>0.058075559359335</v>
      </c>
      <c r="O18" s="12" t="n">
        <f aca="false">IFERROR('원자료(월별지수)'!R18/'원자료(월별지수)'!Q18-1,"")</f>
        <v>-0.044372544488098</v>
      </c>
      <c r="P18" s="12" t="n">
        <f aca="false">IFERROR('원자료(월별지수)'!S18/'원자료(월별지수)'!R18-1,"")</f>
        <v>-0.0191051995163241</v>
      </c>
      <c r="Q18" s="12" t="n">
        <f aca="false">IFERROR('원자료(월별지수)'!T18/'원자료(월별지수)'!S18-1,"")</f>
        <v>0.0149161735700196</v>
      </c>
      <c r="R18" s="12" t="n">
        <f aca="false">IFERROR('원자료(월별지수)'!U18/'원자료(월별지수)'!T18-1,"")</f>
        <v>0.314709097534313</v>
      </c>
      <c r="S18" s="12" t="n">
        <f aca="false">IFERROR('원자료(월별지수)'!V18/'원자료(월별지수)'!U18-1,"")</f>
        <v>0.121951219512195</v>
      </c>
      <c r="T18" s="12" t="n">
        <f aca="false">IFERROR('원자료(월별지수)'!W18/'원자료(월별지수)'!V18-1,"")</f>
        <v>0.255105401844532</v>
      </c>
      <c r="U18" s="12" t="n">
        <f aca="false">IFERROR('원자료(월별지수)'!X18/'원자료(월별지수)'!W18-1,"")</f>
        <v>0.216769452827713</v>
      </c>
      <c r="V18" s="12" t="n">
        <f aca="false">IFERROR('원자료(월별지수)'!Y18/'원자료(월별지수)'!X18-1,"")</f>
        <v>0.334897012832956</v>
      </c>
      <c r="W18" s="12" t="n">
        <f aca="false">IFERROR('원자료(월별지수)'!Z18/'원자료(월별지수)'!Y18-1,"")</f>
        <v>-0.145251847962192</v>
      </c>
      <c r="X18" s="12" t="n">
        <f aca="false">IFERROR('원자료(월별지수)'!AA18/'원자료(월별지수)'!Z18-1,"")</f>
        <v>-0.47819101176693</v>
      </c>
      <c r="Y18" s="12" t="n">
        <f aca="false">IFERROR('원자료(월별지수)'!AB18/'원자료(월별지수)'!AA18-1,"")</f>
        <v>-0.203676870132222</v>
      </c>
      <c r="Z18" s="12" t="n">
        <f aca="false">IFERROR('원자료(월별지수)'!AC18/'원자료(월별지수)'!AB18-1,"")</f>
        <v>0.140793813260548</v>
      </c>
      <c r="AA18" s="12" t="n">
        <f aca="false">IFERROR('원자료(월별지수)'!AD18/'원자료(월별지수)'!AC18-1,"")</f>
        <v>0.151430565247732</v>
      </c>
      <c r="AB18" s="12" t="n">
        <f aca="false">IFERROR('원자료(월별지수)'!AE18/'원자료(월별지수)'!AD18-1,"")</f>
        <v>-0.0922077922077923</v>
      </c>
      <c r="AC18" s="12" t="n">
        <f aca="false">IFERROR('원자료(월별지수)'!AF18/'원자료(월별지수)'!AE18-1,"")</f>
        <v>0.147734859322842</v>
      </c>
      <c r="AD18" s="12" t="n">
        <f aca="false">IFERROR('원자료(월별지수)'!AG18/'원자료(월별지수)'!AF18-1,"")</f>
        <v>0.109938507561908</v>
      </c>
      <c r="AE18" s="12" t="n">
        <f aca="false">IFERROR('원자료(월별지수)'!AH18/'원자료(월별지수)'!AG18-1,"")</f>
        <v>-0.124653739612188</v>
      </c>
      <c r="AF18" s="12" t="n">
        <f aca="false">IFERROR('원자료(월별지수)'!AI18/'원자료(월별지수)'!AH18-1,"")</f>
        <v>-0.0286520697913104</v>
      </c>
      <c r="AG18" s="12" t="n">
        <f aca="false">IFERROR('원자료(월별지수)'!AJ18/'원자료(월별지수)'!AI18-1,"")</f>
        <v>0.713128467024743</v>
      </c>
      <c r="AH18" s="12" t="n">
        <f aca="false">IFERROR('원자료(월별지수)'!AK18/'원자료(월별지수)'!AJ18-1,"")</f>
        <v>-0.263620476973684</v>
      </c>
      <c r="AI18" s="12" t="n">
        <f aca="false">IFERROR('원자료(월별지수)'!AL18/'원자료(월별지수)'!AK18-1,"")</f>
        <v>-0.275842814266769</v>
      </c>
      <c r="AJ18" s="12" t="n">
        <f aca="false">IFERROR('원자료(월별지수)'!AM18/'원자료(월별지수)'!AL18-1,"")</f>
        <v>-0.280771084337349</v>
      </c>
      <c r="AK18" s="12" t="n">
        <f aca="false">IFERROR('원자료(월별지수)'!AN18/'원자료(월별지수)'!AM18-1,"")</f>
        <v>0.059769498793889</v>
      </c>
      <c r="AL18" s="12" t="n">
        <f aca="false">IFERROR('원자료(월별지수)'!AO18/'원자료(월별지수)'!AN18-1,"")</f>
        <v>0.227238239757208</v>
      </c>
      <c r="AM18" s="12" t="n">
        <f aca="false">IFERROR('원자료(월별지수)'!AP18/'원자료(월별지수)'!AO18-1,"")</f>
        <v>0.123647604327666</v>
      </c>
      <c r="AN18" s="12" t="n">
        <f aca="false">IFERROR('원자료(월별지수)'!AQ18/'원자료(월별지수)'!AP18-1,"")</f>
        <v>0.0211829436038515</v>
      </c>
      <c r="AO18" s="12" t="n">
        <f aca="false">IFERROR('원자료(월별지수)'!AR18/'원자료(월별지수)'!AQ18-1,"")</f>
        <v>0.114583333333333</v>
      </c>
      <c r="AP18" s="12" t="n">
        <f aca="false">IFERROR('원자료(월별지수)'!AS18/'원자료(월별지수)'!AR18-1,"")</f>
        <v>0.0558330647760232</v>
      </c>
      <c r="AQ18" s="12" t="n">
        <f aca="false">IFERROR('원자료(월별지수)'!AT18/'원자료(월별지수)'!AS18-1,"")</f>
        <v>-0.0441816100724914</v>
      </c>
      <c r="AR18" s="12" t="n">
        <f aca="false">IFERROR('원자료(월별지수)'!AU18/'원자료(월별지수)'!AT18-1,"")</f>
        <v>0.188647612965033</v>
      </c>
      <c r="AS18" s="12" t="n">
        <f aca="false">IFERROR('원자료(월별지수)'!AV18/'원자료(월별지수)'!AU18-1,"")</f>
        <v>0.313049902612667</v>
      </c>
      <c r="AT18" s="12" t="n">
        <f aca="false">IFERROR('원자료(월별지수)'!AW18/'원자료(월별지수)'!AV18-1,"")</f>
        <v>0.1123273657289</v>
      </c>
      <c r="AU18" s="12" t="n">
        <f aca="false">IFERROR('원자료(월별지수)'!AX18/'원자료(월별지수)'!AW18-1,"")</f>
        <v>-0.151981973696312</v>
      </c>
      <c r="AV18" s="12" t="n">
        <f aca="false">IFERROR('원자료(월별지수)'!AY18/'원자료(월별지수)'!AX18-1,"")</f>
        <v>-0.0985846754514398</v>
      </c>
      <c r="AW18" s="12" t="n">
        <f aca="false">IFERROR('원자료(월별지수)'!AZ18/'원자료(월별지수)'!AY18-1,"")</f>
        <v>0.219876075317331</v>
      </c>
      <c r="AX18" s="12" t="n">
        <f aca="false">IFERROR('원자료(월별지수)'!BA18/'원자료(월별지수)'!AZ18-1,"")</f>
        <v>0.111796035111944</v>
      </c>
      <c r="AY18" s="12" t="n">
        <f aca="false">IFERROR('원자료(월별지수)'!BB18/'원자료(월별지수)'!BA18-1,"")</f>
        <v>0.0455089820359282</v>
      </c>
      <c r="AZ18" s="12" t="n">
        <f aca="false">IFERROR('원자료(월별지수)'!BC18/'원자료(월별지수)'!BB18-1,"")</f>
        <v>-0.0836197021764032</v>
      </c>
      <c r="BA18" s="12" t="n">
        <f aca="false">IFERROR('원자료(월별지수)'!BD18/'원자료(월별지수)'!BC18-1,"")</f>
        <v>-0.0766203703703704</v>
      </c>
      <c r="BB18" s="12" t="n">
        <f aca="false">IFERROR('원자료(월별지수)'!BE18/'원자료(월별지수)'!BD18-1,"")</f>
        <v>-0.621158185008774</v>
      </c>
      <c r="BC18" s="12" t="n">
        <f aca="false">IFERROR('원자료(월별지수)'!BF18/'원자료(월별지수)'!BE18-1,"")</f>
        <v>0.128242456326098</v>
      </c>
      <c r="BD18" s="12" t="n">
        <f aca="false">IFERROR('원자료(월별지수)'!BG18/'원자료(월별지수)'!BF18-1,"")</f>
        <v>0.17266862170088</v>
      </c>
      <c r="BE18" s="12" t="n">
        <f aca="false">IFERROR('원자료(월별지수)'!BH18/'원자료(월별지수)'!BG18-1,"")</f>
        <v>0.0775232569770932</v>
      </c>
      <c r="BF18" s="12" t="n">
        <f aca="false">IFERROR('원자료(월별지수)'!BI18/'원자료(월별지수)'!BH18-1,"")</f>
        <v>-0.121797252135165</v>
      </c>
      <c r="BG18" s="12" t="n">
        <f aca="false">IFERROR('원자료(월별지수)'!BJ18/'원자료(월별지수)'!BI18-1,"")</f>
        <v>0.0724101479915433</v>
      </c>
      <c r="BH18" s="12" t="n">
        <f aca="false">IFERROR('원자료(월별지수)'!BK18/'원자료(월별지수)'!BJ18-1,"")</f>
        <v>0.0459339576145885</v>
      </c>
      <c r="BI18" s="12" t="n">
        <f aca="false">IFERROR('원자료(월별지수)'!BL18/'원자료(월별지수)'!BK18-1,"")</f>
        <v>0.145886344359627</v>
      </c>
      <c r="BJ18" s="12" t="n">
        <f aca="false">IFERROR('원자료(월별지수)'!BM18/'원자료(월별지수)'!BL18-1,"")</f>
        <v>-0.047290073196809</v>
      </c>
      <c r="BK18" s="12" t="n">
        <f aca="false">IFERROR('원자료(월별지수)'!BN18/'원자료(월별지수)'!BM18-1,"")</f>
        <v>0.158494475138121</v>
      </c>
      <c r="BL18" s="12" t="n">
        <f aca="false">IFERROR('원자료(월별지수)'!BO18/'원자료(월별지수)'!BN18-1,"")</f>
        <v>-0.126304023845007</v>
      </c>
      <c r="BM18" s="12" t="n">
        <f aca="false">IFERROR('원자료(월별지수)'!BP18/'원자료(월별지수)'!BO18-1,"")</f>
        <v>-0.0768443496801706</v>
      </c>
      <c r="BN18" s="12" t="n">
        <f aca="false">IFERROR('원자료(월별지수)'!BQ18/'원자료(월별지수)'!BP18-1,"")</f>
        <v>-0.0152439024390243</v>
      </c>
    </row>
    <row r="19" customFormat="false" ht="15" hidden="false" customHeight="false" outlineLevel="0" collapsed="false">
      <c r="A19" s="8" t="s">
        <v>103</v>
      </c>
      <c r="B19" s="9" t="s">
        <v>107</v>
      </c>
      <c r="C19" s="12" t="n">
        <f aca="false">IFERROR('원자료(월별지수)'!F19/'원자료(월별지수)'!E19-1,"")</f>
        <v>1.27267777414788</v>
      </c>
      <c r="D19" s="12" t="n">
        <f aca="false">IFERROR('원자료(월별지수)'!G19/'원자료(월별지수)'!F19-1,"")</f>
        <v>-0.346478198370867</v>
      </c>
      <c r="E19" s="12" t="n">
        <f aca="false">IFERROR('원자료(월별지수)'!H19/'원자료(월별지수)'!G19-1,"")</f>
        <v>-0.372827919935479</v>
      </c>
      <c r="F19" s="12" t="n">
        <f aca="false">IFERROR('원자료(월별지수)'!I19/'원자료(월별지수)'!H19-1,"")</f>
        <v>-0.0673369184007483</v>
      </c>
      <c r="G19" s="12" t="n">
        <f aca="false">IFERROR('원자료(월별지수)'!J19/'원자료(월별지수)'!I19-1,"")</f>
        <v>0.307971922787666</v>
      </c>
      <c r="H19" s="12" t="n">
        <f aca="false">IFERROR('원자료(월별지수)'!K19/'원자료(월별지수)'!J19-1,"")</f>
        <v>0.00297077144226154</v>
      </c>
      <c r="I19" s="12" t="n">
        <f aca="false">IFERROR('원자료(월별지수)'!L19/'원자료(월별지수)'!K19-1,"")</f>
        <v>-0.376457099178292</v>
      </c>
      <c r="J19" s="12" t="n">
        <f aca="false">IFERROR('원자료(월별지수)'!M19/'원자료(월별지수)'!L19-1,"")</f>
        <v>0.0360098069261414</v>
      </c>
      <c r="K19" s="12" t="n">
        <f aca="false">IFERROR('원자료(월별지수)'!N19/'원자료(월별지수)'!M19-1,"")</f>
        <v>0.352018932110634</v>
      </c>
      <c r="L19" s="12" t="n">
        <f aca="false">IFERROR('원자료(월별지수)'!O19/'원자료(월별지수)'!N19-1,"")</f>
        <v>0.0461656273930642</v>
      </c>
      <c r="M19" s="12" t="n">
        <f aca="false">IFERROR('원자료(월별지수)'!P19/'원자료(월별지수)'!O19-1,"")</f>
        <v>-0.223779148802677</v>
      </c>
      <c r="N19" s="12" t="n">
        <f aca="false">IFERROR('원자료(월별지수)'!Q19/'원자료(월별지수)'!P19-1,"")</f>
        <v>0.801697426916341</v>
      </c>
      <c r="O19" s="12" t="n">
        <f aca="false">IFERROR('원자료(월별지수)'!R19/'원자료(월별지수)'!Q19-1,"")</f>
        <v>0.0961567219979063</v>
      </c>
      <c r="P19" s="12" t="n">
        <f aca="false">IFERROR('원자료(월별지수)'!S19/'원자료(월별지수)'!R19-1,"")</f>
        <v>-0.201296043656207</v>
      </c>
      <c r="Q19" s="12" t="n">
        <f aca="false">IFERROR('원자료(월별지수)'!T19/'원자료(월별지수)'!S19-1,"")</f>
        <v>-0.205739174993595</v>
      </c>
      <c r="R19" s="12" t="n">
        <f aca="false">IFERROR('원자료(월별지수)'!U19/'원자료(월별지수)'!T19-1,"")</f>
        <v>0.0625806451612903</v>
      </c>
      <c r="S19" s="12" t="n">
        <f aca="false">IFERROR('원자료(월별지수)'!V19/'원자료(월별지수)'!U19-1,"")</f>
        <v>0.14126695001012</v>
      </c>
      <c r="T19" s="12" t="n">
        <f aca="false">IFERROR('원자료(월별지수)'!W19/'원자료(월별지수)'!V19-1,"")</f>
        <v>0.40547969498138</v>
      </c>
      <c r="U19" s="12" t="n">
        <f aca="false">IFERROR('원자료(월별지수)'!X19/'원자료(월별지수)'!W19-1,"")</f>
        <v>-0.278405147940193</v>
      </c>
      <c r="V19" s="12" t="n">
        <f aca="false">IFERROR('원자료(월별지수)'!Y19/'원자료(월별지수)'!X19-1,"")</f>
        <v>0.337296730197587</v>
      </c>
      <c r="W19" s="12" t="n">
        <f aca="false">IFERROR('원자료(월별지수)'!Z19/'원자료(월별지수)'!Y19-1,"")</f>
        <v>-0.25196129707113</v>
      </c>
      <c r="X19" s="12" t="n">
        <f aca="false">IFERROR('원자료(월별지수)'!AA19/'원자료(월별지수)'!Z19-1,"")</f>
        <v>-0.21185107498689</v>
      </c>
      <c r="Y19" s="12" t="n">
        <f aca="false">IFERROR('원자료(월별지수)'!AB19/'원자료(월별지수)'!AA19-1,"")</f>
        <v>-0.0612109115103128</v>
      </c>
      <c r="Z19" s="12" t="n">
        <f aca="false">IFERROR('원자료(월별지수)'!AC19/'원자료(월별지수)'!AB19-1,"")</f>
        <v>0.858020316560359</v>
      </c>
      <c r="AA19" s="12" t="n">
        <f aca="false">IFERROR('원자료(월별지수)'!AD19/'원자료(월별지수)'!AC19-1,"")</f>
        <v>0.606929434202161</v>
      </c>
      <c r="AB19" s="12" t="n">
        <f aca="false">IFERROR('원자료(월별지수)'!AE19/'원자료(월별지수)'!AD19-1,"")</f>
        <v>-0.445701625984096</v>
      </c>
      <c r="AC19" s="12" t="n">
        <f aca="false">IFERROR('원자료(월별지수)'!AF19/'원자료(월별지수)'!AE19-1,"")</f>
        <v>-0.424951823567197</v>
      </c>
      <c r="AD19" s="12" t="n">
        <f aca="false">IFERROR('원자료(월별지수)'!AG19/'원자료(월별지수)'!AF19-1,"")</f>
        <v>0.0929626411815814</v>
      </c>
      <c r="AE19" s="12" t="n">
        <f aca="false">IFERROR('원자료(월별지수)'!AH19/'원자료(월별지수)'!AG19-1,"")</f>
        <v>0.0493981376334316</v>
      </c>
      <c r="AF19" s="12" t="n">
        <f aca="false">IFERROR('원자료(월별지수)'!AI19/'원자료(월별지수)'!AH19-1,"")</f>
        <v>-0.153879450275944</v>
      </c>
      <c r="AG19" s="12" t="n">
        <f aca="false">IFERROR('원자료(월별지수)'!AJ19/'원자료(월별지수)'!AI19-1,"")</f>
        <v>-0.118685253868781</v>
      </c>
      <c r="AH19" s="12" t="n">
        <f aca="false">IFERROR('원자료(월별지수)'!AK19/'원자료(월별지수)'!AJ19-1,"")</f>
        <v>0.729212015672617</v>
      </c>
      <c r="AI19" s="12" t="n">
        <f aca="false">IFERROR('원자료(월별지수)'!AL19/'원자료(월별지수)'!AK19-1,"")</f>
        <v>-0.0970124202752601</v>
      </c>
      <c r="AJ19" s="12" t="n">
        <f aca="false">IFERROR('원자료(월별지수)'!AM19/'원자료(월별지수)'!AL19-1,"")</f>
        <v>-0.317007434944238</v>
      </c>
      <c r="AK19" s="12" t="n">
        <f aca="false">IFERROR('원자료(월별지수)'!AN19/'원자료(월별지수)'!AM19-1,"")</f>
        <v>0.124642808545381</v>
      </c>
      <c r="AL19" s="12" t="n">
        <f aca="false">IFERROR('원자료(월별지수)'!AO19/'원자료(월별지수)'!AN19-1,"")</f>
        <v>0.993708408953418</v>
      </c>
      <c r="AM19" s="12" t="n">
        <f aca="false">IFERROR('원자료(월별지수)'!AP19/'원자료(월별지수)'!AO19-1,"")</f>
        <v>0.221446777521544</v>
      </c>
      <c r="AN19" s="12" t="n">
        <f aca="false">IFERROR('원자료(월별지수)'!AQ19/'원자료(월별지수)'!AP19-1,"")</f>
        <v>0.0397972872261141</v>
      </c>
      <c r="AO19" s="12" t="n">
        <f aca="false">IFERROR('원자료(월별지수)'!AR19/'원자료(월별지수)'!AQ19-1,"")</f>
        <v>-0.47424503058104</v>
      </c>
      <c r="AP19" s="12" t="n">
        <f aca="false">IFERROR('원자료(월별지수)'!AS19/'원자료(월별지수)'!AR19-1,"")</f>
        <v>-0.337726074706898</v>
      </c>
      <c r="AQ19" s="12" t="n">
        <f aca="false">IFERROR('원자료(월별지수)'!AT19/'원자료(월별지수)'!AS19-1,"")</f>
        <v>-0.160148209139564</v>
      </c>
      <c r="AR19" s="12" t="n">
        <f aca="false">IFERROR('원자료(월별지수)'!AU19/'원자료(월별지수)'!AT19-1,"")</f>
        <v>0.391666666666667</v>
      </c>
      <c r="AS19" s="12" t="n">
        <f aca="false">IFERROR('원자료(월별지수)'!AV19/'원자료(월별지수)'!AU19-1,"")</f>
        <v>-0.0281789362451568</v>
      </c>
      <c r="AT19" s="12" t="n">
        <f aca="false">IFERROR('원자료(월별지수)'!AW19/'원자료(월별지수)'!AV19-1,"")</f>
        <v>0.184970399903347</v>
      </c>
      <c r="AU19" s="12" t="n">
        <f aca="false">IFERROR('원자료(월별지수)'!AX19/'원자료(월별지수)'!AW19-1,"")</f>
        <v>0.0898246329526917</v>
      </c>
      <c r="AV19" s="12" t="n">
        <f aca="false">IFERROR('원자료(월별지수)'!AY19/'원자료(월별지수)'!AX19-1,"")</f>
        <v>-0.233136869679109</v>
      </c>
      <c r="AW19" s="12" t="n">
        <f aca="false">IFERROR('원자료(월별지수)'!AZ19/'원자료(월별지수)'!AY19-1,"")</f>
        <v>-0.141881176040015</v>
      </c>
      <c r="AX19" s="12" t="n">
        <f aca="false">IFERROR('원자료(월별지수)'!BA19/'원자료(월별지수)'!AZ19-1,"")</f>
        <v>0.300540233153256</v>
      </c>
      <c r="AY19" s="12" t="n">
        <f aca="false">IFERROR('원자료(월별지수)'!BB19/'원자료(월별지수)'!BA19-1,"")</f>
        <v>0.30028421512899</v>
      </c>
      <c r="AZ19" s="12" t="n">
        <f aca="false">IFERROR('원자료(월별지수)'!BC19/'원자료(월별지수)'!BB19-1,"")</f>
        <v>0.0221941992433796</v>
      </c>
      <c r="BA19" s="12" t="n">
        <f aca="false">IFERROR('원자료(월별지수)'!BD19/'원자료(월별지수)'!BC19-1,"")</f>
        <v>-0.433917262932807</v>
      </c>
      <c r="BB19" s="12" t="n">
        <f aca="false">IFERROR('원자료(월별지수)'!BE19/'원자료(월별지수)'!BD19-1,"")</f>
        <v>-0.0819410140926922</v>
      </c>
      <c r="BC19" s="12" t="n">
        <f aca="false">IFERROR('원자료(월별지수)'!BF19/'원자료(월별지수)'!BE19-1,"")</f>
        <v>0.127551827820858</v>
      </c>
      <c r="BD19" s="12" t="n">
        <f aca="false">IFERROR('원자료(월별지수)'!BG19/'원자료(월별지수)'!BF19-1,"")</f>
        <v>0.420912280701754</v>
      </c>
      <c r="BE19" s="12" t="n">
        <f aca="false">IFERROR('원자료(월별지수)'!BH19/'원자료(월별지수)'!BG19-1,"")</f>
        <v>-0.417522718293165</v>
      </c>
      <c r="BF19" s="12" t="n">
        <f aca="false">IFERROR('원자료(월별지수)'!BI19/'원자료(월별지수)'!BH19-1,"")</f>
        <v>0.384093606918772</v>
      </c>
      <c r="BG19" s="12" t="n">
        <f aca="false">IFERROR('원자료(월별지수)'!BJ19/'원자료(월별지수)'!BI19-1,"")</f>
        <v>-0.0416564567507964</v>
      </c>
      <c r="BH19" s="12" t="n">
        <f aca="false">IFERROR('원자료(월별지수)'!BK19/'원자료(월별지수)'!BJ19-1,"")</f>
        <v>0.0609818460751725</v>
      </c>
      <c r="BI19" s="12" t="n">
        <f aca="false">IFERROR('원자료(월별지수)'!BL19/'원자료(월별지수)'!BK19-1,"")</f>
        <v>-0.266779130015664</v>
      </c>
      <c r="BJ19" s="12" t="n">
        <f aca="false">IFERROR('원자료(월별지수)'!BM19/'원자료(월별지수)'!BL19-1,"")</f>
        <v>0.607066557107642</v>
      </c>
      <c r="BK19" s="12" t="n">
        <f aca="false">IFERROR('원자료(월별지수)'!BN19/'원자료(월별지수)'!BM19-1,"")</f>
        <v>0.35095613048369</v>
      </c>
      <c r="BL19" s="12" t="n">
        <f aca="false">IFERROR('원자료(월별지수)'!BO19/'원자료(월별지수)'!BN19-1,"")</f>
        <v>-0.272197411248202</v>
      </c>
      <c r="BM19" s="12" t="n">
        <f aca="false">IFERROR('원자료(월별지수)'!BP19/'원자료(월별지수)'!BO19-1,"")</f>
        <v>-0.273634945397816</v>
      </c>
      <c r="BN19" s="12" t="n">
        <f aca="false">IFERROR('원자료(월별지수)'!BQ19/'원자료(월별지수)'!BP19-1,"")</f>
        <v>-0.0876288659793815</v>
      </c>
    </row>
    <row r="20" customFormat="false" ht="15" hidden="false" customHeight="false" outlineLevel="0" collapsed="false">
      <c r="A20" s="8" t="s">
        <v>103</v>
      </c>
      <c r="B20" s="9" t="s">
        <v>108</v>
      </c>
      <c r="C20" s="12" t="n">
        <f aca="false">IFERROR('원자료(월별지수)'!F20/'원자료(월별지수)'!E20-1,"")</f>
        <v>-0.000781250000000067</v>
      </c>
      <c r="D20" s="12" t="n">
        <f aca="false">IFERROR('원자료(월별지수)'!G20/'원자료(월별지수)'!F20-1,"")</f>
        <v>-0.00504655625844064</v>
      </c>
      <c r="E20" s="12" t="n">
        <f aca="false">IFERROR('원자료(월별지수)'!H20/'원자료(월별지수)'!G20-1,"")</f>
        <v>0.00314330618659797</v>
      </c>
      <c r="F20" s="12" t="n">
        <f aca="false">IFERROR('원자료(월별지수)'!I20/'원자료(월별지수)'!H20-1,"")</f>
        <v>0</v>
      </c>
      <c r="G20" s="12" t="n">
        <f aca="false">IFERROR('원자료(월별지수)'!J20/'원자료(월별지수)'!I20-1,"")</f>
        <v>0.00128186867967539</v>
      </c>
      <c r="H20" s="12" t="n">
        <f aca="false">IFERROR('원자료(월별지수)'!K20/'원자료(월별지수)'!J20-1,"")</f>
        <v>0.00113798008534838</v>
      </c>
      <c r="I20" s="12" t="n">
        <f aca="false">IFERROR('원자료(월별지수)'!L20/'원자료(월별지수)'!K20-1,"")</f>
        <v>-0.15125035521455</v>
      </c>
      <c r="J20" s="12" t="n">
        <f aca="false">IFERROR('원자료(월별지수)'!M20/'원자료(월별지수)'!L20-1,"")</f>
        <v>-0.133924834686532</v>
      </c>
      <c r="K20" s="12" t="n">
        <f aca="false">IFERROR('원자료(월별지수)'!N20/'원자료(월별지수)'!M20-1,"")</f>
        <v>-0.0185561032183241</v>
      </c>
      <c r="L20" s="12" t="n">
        <f aca="false">IFERROR('원자료(월별지수)'!O20/'원자료(월별지수)'!N20-1,"")</f>
        <v>-0.00285573609059564</v>
      </c>
      <c r="M20" s="12" t="n">
        <f aca="false">IFERROR('원자료(월별지수)'!P20/'원자료(월별지수)'!O20-1,"")</f>
        <v>0.00325893738889982</v>
      </c>
      <c r="N20" s="12" t="n">
        <f aca="false">IFERROR('원자료(월별지수)'!Q20/'원자료(월별지수)'!P20-1,"")</f>
        <v>-0.00246087213308399</v>
      </c>
      <c r="O20" s="12" t="n">
        <f aca="false">IFERROR('원자료(월별지수)'!R20/'원자료(월별지수)'!Q20-1,"")</f>
        <v>-0.0135188474442471</v>
      </c>
      <c r="P20" s="12" t="n">
        <f aca="false">IFERROR('원자료(월별지수)'!S20/'원자료(월별지수)'!R20-1,"")</f>
        <v>-0.000900270081024335</v>
      </c>
      <c r="Q20" s="12" t="n">
        <f aca="false">IFERROR('원자료(월별지수)'!T20/'원자료(월별지수)'!S20-1,"")</f>
        <v>0</v>
      </c>
      <c r="R20" s="12" t="n">
        <f aca="false">IFERROR('원자료(월별지수)'!U20/'원자료(월별지수)'!T20-1,"")</f>
        <v>-0.00200240288345999</v>
      </c>
      <c r="S20" s="12" t="n">
        <f aca="false">IFERROR('원자료(월별지수)'!V20/'원자료(월별지수)'!U20-1,"")</f>
        <v>-0.00210674157303381</v>
      </c>
      <c r="T20" s="12" t="n">
        <f aca="false">IFERROR('원자료(월별지수)'!W20/'원자료(월별지수)'!V20-1,"")</f>
        <v>0.00713783050165895</v>
      </c>
      <c r="U20" s="12" t="n">
        <f aca="false">IFERROR('원자료(월별지수)'!X20/'원자료(월별지수)'!W20-1,"")</f>
        <v>0.00539029746456365</v>
      </c>
      <c r="V20" s="12" t="n">
        <f aca="false">IFERROR('원자료(월별지수)'!Y20/'원자료(월별지수)'!X20-1,"")</f>
        <v>0.14763701350278</v>
      </c>
      <c r="W20" s="12" t="n">
        <f aca="false">IFERROR('원자료(월별지수)'!Z20/'원자료(월별지수)'!Y20-1,"")</f>
        <v>-0.0151397179686824</v>
      </c>
      <c r="X20" s="12" t="n">
        <f aca="false">IFERROR('원자료(월별지수)'!AA20/'원자료(월별지수)'!Z20-1,"")</f>
        <v>-0.0298664792691498</v>
      </c>
      <c r="Y20" s="12" t="n">
        <f aca="false">IFERROR('원자료(월별지수)'!AB20/'원자료(월별지수)'!AA20-1,"")</f>
        <v>-0.0128576602680188</v>
      </c>
      <c r="Z20" s="12" t="n">
        <f aca="false">IFERROR('원자료(월별지수)'!AC20/'원자료(월별지수)'!AB20-1,"")</f>
        <v>-0.00128416804256104</v>
      </c>
      <c r="AA20" s="12" t="n">
        <f aca="false">IFERROR('원자료(월별지수)'!AD20/'원자료(월별지수)'!AC20-1,"")</f>
        <v>0</v>
      </c>
      <c r="AB20" s="12" t="n">
        <f aca="false">IFERROR('원자료(월별지수)'!AE20/'원자료(월별지수)'!AD20-1,"")</f>
        <v>-0.000551065393093353</v>
      </c>
      <c r="AC20" s="12" t="n">
        <f aca="false">IFERROR('원자료(월별지수)'!AF20/'원자료(월별지수)'!AE20-1,"")</f>
        <v>-0.000827053850395054</v>
      </c>
      <c r="AD20" s="12" t="n">
        <f aca="false">IFERROR('원자료(월별지수)'!AG20/'원자료(월별지수)'!AF20-1,"")</f>
        <v>0.000459854685919137</v>
      </c>
      <c r="AE20" s="12" t="n">
        <f aca="false">IFERROR('원자료(월별지수)'!AH20/'원자료(월별지수)'!AG20-1,"")</f>
        <v>0.00156278727707293</v>
      </c>
      <c r="AF20" s="12" t="n">
        <f aca="false">IFERROR('원자료(월별지수)'!AI20/'원자료(월별지수)'!AH20-1,"")</f>
        <v>0.00293712712253313</v>
      </c>
      <c r="AG20" s="12" t="n">
        <f aca="false">IFERROR('원자료(월별지수)'!AJ20/'원자료(월별지수)'!AI20-1,"")</f>
        <v>0.00521643635032487</v>
      </c>
      <c r="AH20" s="12" t="n">
        <f aca="false">IFERROR('원자료(월별지수)'!AK20/'원자료(월별지수)'!AJ20-1,"")</f>
        <v>0.0144756008739986</v>
      </c>
      <c r="AI20" s="12" t="n">
        <f aca="false">IFERROR('원자료(월별지수)'!AL20/'원자료(월별지수)'!AK20-1,"")</f>
        <v>0.0111280624607377</v>
      </c>
      <c r="AJ20" s="12" t="n">
        <f aca="false">IFERROR('원자료(월별지수)'!AM20/'원자료(월별지수)'!AL20-1,"")</f>
        <v>0.00541404100470411</v>
      </c>
      <c r="AK20" s="12" t="n">
        <f aca="false">IFERROR('원자료(월별지수)'!AN20/'원자료(월별지수)'!AM20-1,"")</f>
        <v>-0.000617937853107375</v>
      </c>
      <c r="AL20" s="12" t="n">
        <f aca="false">IFERROR('원자료(월별지수)'!AO20/'원자료(월별지수)'!AN20-1,"")</f>
        <v>-0.00176662838971808</v>
      </c>
      <c r="AM20" s="12" t="n">
        <f aca="false">IFERROR('원자료(월별지수)'!AP20/'원자료(월별지수)'!AO20-1,"")</f>
        <v>-0.0133616494115566</v>
      </c>
      <c r="AN20" s="12" t="n">
        <f aca="false">IFERROR('원자료(월별지수)'!AQ20/'원자료(월별지수)'!AP20-1,"")</f>
        <v>-0.000717488789237608</v>
      </c>
      <c r="AO20" s="12" t="n">
        <f aca="false">IFERROR('원자료(월별지수)'!AR20/'원자료(월별지수)'!AQ20-1,"")</f>
        <v>-0.000269251480883193</v>
      </c>
      <c r="AP20" s="12" t="n">
        <f aca="false">IFERROR('원자료(월별지수)'!AS20/'원자료(월별지수)'!AR20-1,"")</f>
        <v>0.00170571864619795</v>
      </c>
      <c r="AQ20" s="12" t="n">
        <f aca="false">IFERROR('원자료(월별지수)'!AT20/'원자료(월별지수)'!AS20-1,"")</f>
        <v>0.0033160064527693</v>
      </c>
      <c r="AR20" s="12" t="n">
        <f aca="false">IFERROR('원자료(월별지수)'!AU20/'원자료(월별지수)'!AT20-1,"")</f>
        <v>0.000982581509602509</v>
      </c>
      <c r="AS20" s="12" t="n">
        <f aca="false">IFERROR('원자료(월별지수)'!AV20/'원자료(월별지수)'!AU20-1,"")</f>
        <v>-0.00428341959664469</v>
      </c>
      <c r="AT20" s="12" t="n">
        <f aca="false">IFERROR('원자료(월별지수)'!AW20/'원자료(월별지수)'!AV20-1,"")</f>
        <v>-0.000716974368166312</v>
      </c>
      <c r="AU20" s="12" t="n">
        <f aca="false">IFERROR('원자료(월별지수)'!AX20/'원자료(월별지수)'!AW20-1,"")</f>
        <v>-0.00726457399103142</v>
      </c>
      <c r="AV20" s="12" t="n">
        <f aca="false">IFERROR('원자료(월별지수)'!AY20/'원자료(월별지수)'!AX20-1,"")</f>
        <v>-0.00379438070286386</v>
      </c>
      <c r="AW20" s="12" t="n">
        <f aca="false">IFERROR('원자료(월별지수)'!AZ20/'원자료(월별지수)'!AY20-1,"")</f>
        <v>-0.00117892445814816</v>
      </c>
      <c r="AX20" s="12" t="n">
        <f aca="false">IFERROR('원자료(월별지수)'!BA20/'원자료(월별지수)'!AZ20-1,"")</f>
        <v>0.000998728890502898</v>
      </c>
      <c r="AY20" s="12" t="n">
        <f aca="false">IFERROR('원자료(월별지수)'!BB20/'원자료(월별지수)'!BA20-1,"")</f>
        <v>0.0003628117913832</v>
      </c>
      <c r="AZ20" s="12" t="n">
        <f aca="false">IFERROR('원자료(월별지수)'!BC20/'원자료(월별지수)'!BB20-1,"")</f>
        <v>0.00607489346268908</v>
      </c>
      <c r="BA20" s="12" t="n">
        <f aca="false">IFERROR('원자료(월별지수)'!BD20/'원자료(월별지수)'!BC20-1,"")</f>
        <v>-0.0015320836337418</v>
      </c>
      <c r="BB20" s="12" t="n">
        <f aca="false">IFERROR('원자료(월별지수)'!BE20/'원자료(월별지수)'!BD20-1,"")</f>
        <v>-0.00126365195414746</v>
      </c>
      <c r="BC20" s="12" t="n">
        <f aca="false">IFERROR('원자료(월별지수)'!BF20/'원자료(월별지수)'!BE20-1,"")</f>
        <v>-0.00244012652507919</v>
      </c>
      <c r="BD20" s="12" t="n">
        <f aca="false">IFERROR('원자료(월별지수)'!BG20/'원자료(월별지수)'!BF20-1,"")</f>
        <v>-0.00045298061242971</v>
      </c>
      <c r="BE20" s="12" t="n">
        <f aca="false">IFERROR('원자료(월별지수)'!BH20/'원자료(월별지수)'!BG20-1,"")</f>
        <v>0.000453185896854835</v>
      </c>
      <c r="BF20" s="12" t="n">
        <f aca="false">IFERROR('원자료(월별지수)'!BI20/'원자료(월별지수)'!BH20-1,"")</f>
        <v>0.0115963036782025</v>
      </c>
      <c r="BG20" s="12" t="n">
        <f aca="false">IFERROR('원자료(월별지수)'!BJ20/'원자료(월별지수)'!BI20-1,"")</f>
        <v>0.00089557585527511</v>
      </c>
      <c r="BH20" s="12" t="n">
        <f aca="false">IFERROR('원자료(월별지수)'!BK20/'원자료(월별지수)'!BJ20-1,"")</f>
        <v>-0.00259484609878313</v>
      </c>
      <c r="BI20" s="12" t="n">
        <f aca="false">IFERROR('원자료(월별지수)'!BL20/'원자료(월별지수)'!BK20-1,"")</f>
        <v>-0.000269130707813758</v>
      </c>
      <c r="BJ20" s="12" t="n">
        <f aca="false">IFERROR('원자료(월별지수)'!BM20/'원자료(월별지수)'!BL20-1,"")</f>
        <v>-0.00224335965542</v>
      </c>
      <c r="BK20" s="12" t="n">
        <f aca="false">IFERROR('원자료(월별지수)'!BN20/'원자료(월별지수)'!BM20-1,"")</f>
        <v>0</v>
      </c>
      <c r="BL20" s="12" t="n">
        <f aca="false">IFERROR('원자료(월별지수)'!BO20/'원자료(월별지수)'!BN20-1,"")</f>
        <v>0.000269808436010433</v>
      </c>
      <c r="BM20" s="12" t="n">
        <f aca="false">IFERROR('원자료(월별지수)'!BP20/'원자료(월별지수)'!BO20-1,"")</f>
        <v>0.000719295090811034</v>
      </c>
      <c r="BN20" s="12" t="n">
        <f aca="false">IFERROR('원자료(월별지수)'!BQ20/'원자료(월별지수)'!BP20-1,"")</f>
        <v>-0.000449236298292854</v>
      </c>
    </row>
    <row r="21" customFormat="false" ht="15" hidden="false" customHeight="false" outlineLevel="0" collapsed="false">
      <c r="A21" s="8" t="s">
        <v>103</v>
      </c>
      <c r="B21" s="9" t="s">
        <v>109</v>
      </c>
      <c r="C21" s="12" t="n">
        <f aca="false">IFERROR('원자료(월별지수)'!F21/'원자료(월별지수)'!E21-1,"")</f>
        <v>0.0310217658543641</v>
      </c>
      <c r="D21" s="12" t="n">
        <f aca="false">IFERROR('원자료(월별지수)'!G21/'원자료(월별지수)'!F21-1,"")</f>
        <v>0.0152896619441716</v>
      </c>
      <c r="E21" s="12" t="n">
        <f aca="false">IFERROR('원자료(월별지수)'!H21/'원자료(월별지수)'!G21-1,"")</f>
        <v>0.0203785576126003</v>
      </c>
      <c r="F21" s="12" t="n">
        <f aca="false">IFERROR('원자료(월별지수)'!I21/'원자료(월별지수)'!H21-1,"")</f>
        <v>-0.00182790603208993</v>
      </c>
      <c r="G21" s="12" t="n">
        <f aca="false">IFERROR('원자료(월별지수)'!J21/'원자료(월별지수)'!I21-1,"")</f>
        <v>-0.0212967986977752</v>
      </c>
      <c r="H21" s="12" t="n">
        <f aca="false">IFERROR('원자료(월별지수)'!K21/'원자료(월별지수)'!J21-1,"")</f>
        <v>0.131185031185031</v>
      </c>
      <c r="I21" s="12" t="n">
        <f aca="false">IFERROR('원자료(월별지수)'!L21/'원자료(월별지수)'!K21-1,"")</f>
        <v>0.0299577283587578</v>
      </c>
      <c r="J21" s="12" t="n">
        <f aca="false">IFERROR('원자료(월별지수)'!M21/'원자료(월별지수)'!L21-1,"")</f>
        <v>-0.00642398286937906</v>
      </c>
      <c r="K21" s="12" t="n">
        <f aca="false">IFERROR('원자료(월별지수)'!N21/'원자료(월별지수)'!M21-1,"")</f>
        <v>-0.00107758620689646</v>
      </c>
      <c r="L21" s="12" t="n">
        <f aca="false">IFERROR('원자료(월별지수)'!O21/'원자료(월별지수)'!N21-1,"")</f>
        <v>0.0259498981181827</v>
      </c>
      <c r="M21" s="12" t="n">
        <f aca="false">IFERROR('원자료(월별지수)'!P21/'원자료(월별지수)'!O21-1,"")</f>
        <v>0.00695134061569025</v>
      </c>
      <c r="N21" s="12" t="n">
        <f aca="false">IFERROR('원자료(월별지수)'!Q21/'원자료(월별지수)'!P21-1,"")</f>
        <v>0</v>
      </c>
      <c r="O21" s="12" t="n">
        <f aca="false">IFERROR('원자료(월별지수)'!R21/'원자료(월별지수)'!Q21-1,"")</f>
        <v>-0.0317902308852535</v>
      </c>
      <c r="P21" s="12" t="n">
        <f aca="false">IFERROR('원자료(월별지수)'!S21/'원자료(월별지수)'!R21-1,"")</f>
        <v>0.0102456560814859</v>
      </c>
      <c r="Q21" s="12" t="n">
        <f aca="false">IFERROR('원자료(월별지수)'!T21/'원자료(월별지수)'!S21-1,"")</f>
        <v>0.0314927940217067</v>
      </c>
      <c r="R21" s="12" t="n">
        <f aca="false">IFERROR('원자료(월별지수)'!U21/'원자료(월별지수)'!T21-1,"")</f>
        <v>0.000344986200552011</v>
      </c>
      <c r="S21" s="12" t="n">
        <f aca="false">IFERROR('원자료(월별지수)'!V21/'원자료(월별지수)'!U21-1,"")</f>
        <v>0.00362110587423858</v>
      </c>
      <c r="T21" s="12" t="n">
        <f aca="false">IFERROR('원자료(월별지수)'!W21/'원자료(월별지수)'!V21-1,"")</f>
        <v>0.0171238760666628</v>
      </c>
      <c r="U21" s="12" t="n">
        <f aca="false">IFERROR('원자료(월별지수)'!X21/'원자료(월별지수)'!W21-1,"")</f>
        <v>0.0118806306306307</v>
      </c>
      <c r="V21" s="12" t="n">
        <f aca="false">IFERROR('원자료(월별지수)'!Y21/'원자료(월별지수)'!X21-1,"")</f>
        <v>-0.037783094986367</v>
      </c>
      <c r="W21" s="12" t="n">
        <f aca="false">IFERROR('원자료(월별지수)'!Z21/'원자료(월별지수)'!Y21-1,"")</f>
        <v>-0.0217441591487393</v>
      </c>
      <c r="X21" s="12" t="n">
        <f aca="false">IFERROR('원자료(월별지수)'!AA21/'원자료(월별지수)'!Z21-1,"")</f>
        <v>-0.00171435327500591</v>
      </c>
      <c r="Y21" s="12" t="n">
        <f aca="false">IFERROR('원자료(월별지수)'!AB21/'원자료(월별지수)'!AA21-1,"")</f>
        <v>-0.00124356013501514</v>
      </c>
      <c r="Z21" s="12" t="n">
        <f aca="false">IFERROR('원자료(월별지수)'!AC21/'원자료(월별지수)'!AB21-1,"")</f>
        <v>-0.00219376259931225</v>
      </c>
      <c r="AA21" s="12" t="n">
        <f aca="false">IFERROR('원자료(월별지수)'!AD21/'원자료(월별지수)'!AC21-1,"")</f>
        <v>0.00493196268346319</v>
      </c>
      <c r="AB21" s="12" t="n">
        <f aca="false">IFERROR('원자료(월별지수)'!AE21/'원자료(월별지수)'!AD21-1,"")</f>
        <v>0.00147824030274357</v>
      </c>
      <c r="AC21" s="12" t="n">
        <f aca="false">IFERROR('원자료(월별지수)'!AF21/'원자료(월별지수)'!AE21-1,"")</f>
        <v>-0.0265690500088563</v>
      </c>
      <c r="AD21" s="12" t="n">
        <f aca="false">IFERROR('원자료(월별지수)'!AG21/'원자료(월별지수)'!AF21-1,"")</f>
        <v>-0.219991508461212</v>
      </c>
      <c r="AE21" s="12" t="n">
        <f aca="false">IFERROR('원자료(월별지수)'!AH21/'원자료(월별지수)'!AG21-1,"")</f>
        <v>-0.0820373250388803</v>
      </c>
      <c r="AF21" s="12" t="n">
        <f aca="false">IFERROR('원자료(월별지수)'!AI21/'원자료(월별지수)'!AH21-1,"")</f>
        <v>0.057433290978399</v>
      </c>
      <c r="AG21" s="12" t="n">
        <f aca="false">IFERROR('원자료(월별지수)'!AJ21/'원자료(월별지수)'!AI21-1,"")</f>
        <v>-0.00624849795722182</v>
      </c>
      <c r="AH21" s="12" t="n">
        <f aca="false">IFERROR('원자료(월별지수)'!AK21/'원자료(월별지수)'!AJ21-1,"")</f>
        <v>0.018621523579202</v>
      </c>
      <c r="AI21" s="12" t="n">
        <f aca="false">IFERROR('원자료(월별지수)'!AL21/'원자료(월별지수)'!AK21-1,"")</f>
        <v>0.0299936688825577</v>
      </c>
      <c r="AJ21" s="12" t="n">
        <f aca="false">IFERROR('원자료(월별지수)'!AM21/'원자료(월별지수)'!AL21-1,"")</f>
        <v>0.00507107184018429</v>
      </c>
      <c r="AK21" s="12" t="n">
        <f aca="false">IFERROR('원자료(월별지수)'!AN21/'원자료(월별지수)'!AM21-1,"")</f>
        <v>0.00596284687714999</v>
      </c>
      <c r="AL21" s="12" t="n">
        <f aca="false">IFERROR('원자료(월별지수)'!AO21/'원자료(월별지수)'!AN21-1,"")</f>
        <v>-0.0184664488182993</v>
      </c>
      <c r="AM21" s="12" t="n">
        <f aca="false">IFERROR('원자료(월별지수)'!AP21/'원자료(월별지수)'!AO21-1,"")</f>
        <v>-0.00541963456178374</v>
      </c>
      <c r="AN21" s="12" t="n">
        <f aca="false">IFERROR('원자료(월별지수)'!AQ21/'원자료(월별지수)'!AP21-1,"")</f>
        <v>-0.00210182157870165</v>
      </c>
      <c r="AO21" s="12" t="n">
        <f aca="false">IFERROR('원자료(월별지수)'!AR21/'원자료(월별지수)'!AQ21-1,"")</f>
        <v>0.000858101255948318</v>
      </c>
      <c r="AP21" s="12" t="n">
        <f aca="false">IFERROR('원자료(월별지수)'!AS21/'원자료(월별지수)'!AR21-1,"")</f>
        <v>0.00202650038971153</v>
      </c>
      <c r="AQ21" s="12" t="n">
        <f aca="false">IFERROR('원자료(월별지수)'!AT21/'원자료(월별지수)'!AS21-1,"")</f>
        <v>0.00412258867454884</v>
      </c>
      <c r="AR21" s="12" t="n">
        <f aca="false">IFERROR('원자료(월별지수)'!AU21/'원자료(월별지수)'!AT21-1,"")</f>
        <v>0.0151057401812689</v>
      </c>
      <c r="AS21" s="12" t="n">
        <f aca="false">IFERROR('원자료(월별지수)'!AV21/'원자료(월별지수)'!AU21-1,"")</f>
        <v>0.0202991452991452</v>
      </c>
      <c r="AT21" s="12" t="n">
        <f aca="false">IFERROR('원자료(월별지수)'!AW21/'원자료(월별지수)'!AV21-1,"")</f>
        <v>0.005983545250561</v>
      </c>
      <c r="AU21" s="12" t="n">
        <f aca="false">IFERROR('원자료(월별지수)'!AX21/'원자료(월별지수)'!AW21-1,"")</f>
        <v>0.0018587360594795</v>
      </c>
      <c r="AV21" s="12" t="n">
        <f aca="false">IFERROR('원자료(월별지수)'!AY21/'원자료(월별지수)'!AX21-1,"")</f>
        <v>-0.000519480519480475</v>
      </c>
      <c r="AW21" s="12" t="n">
        <f aca="false">IFERROR('원자료(월별지수)'!AZ21/'원자료(월별지수)'!AY21-1,"")</f>
        <v>0.0012622512622511</v>
      </c>
      <c r="AX21" s="12" t="n">
        <f aca="false">IFERROR('원자료(월별지수)'!BA21/'원자료(월별지수)'!AZ21-1,"")</f>
        <v>0.0145346681497962</v>
      </c>
      <c r="AY21" s="12" t="n">
        <f aca="false">IFERROR('원자료(월별지수)'!BB21/'원자료(월별지수)'!BA21-1,"")</f>
        <v>0.0301147576931511</v>
      </c>
      <c r="AZ21" s="12" t="n">
        <f aca="false">IFERROR('원자료(월별지수)'!BC21/'원자료(월별지수)'!BB21-1,"")</f>
        <v>0.0347690342723339</v>
      </c>
      <c r="BA21" s="12" t="n">
        <f aca="false">IFERROR('원자료(월별지수)'!BD21/'원자료(월별지수)'!BC21-1,"")</f>
        <v>0.0250291435232803</v>
      </c>
      <c r="BB21" s="12" t="n">
        <f aca="false">IFERROR('원자료(월별지수)'!BE21/'원자료(월별지수)'!BD21-1,"")</f>
        <v>0.0693069306930694</v>
      </c>
      <c r="BC21" s="12" t="n">
        <f aca="false">IFERROR('원자료(월별지수)'!BF21/'원자료(월별지수)'!BE21-1,"")</f>
        <v>-0.00406656656656657</v>
      </c>
      <c r="BD21" s="12" t="n">
        <f aca="false">IFERROR('원자료(월별지수)'!BG21/'원자료(월별지수)'!BF21-1,"")</f>
        <v>-0.0281424712607575</v>
      </c>
      <c r="BE21" s="12" t="n">
        <f aca="false">IFERROR('원자료(월별지수)'!BH21/'원자료(월별지수)'!BG21-1,"")</f>
        <v>-0.0966970460862259</v>
      </c>
      <c r="BF21" s="12" t="n">
        <f aca="false">IFERROR('원자료(월별지수)'!BI21/'원자료(월별지수)'!BH21-1,"")</f>
        <v>0.00615384615384618</v>
      </c>
      <c r="BG21" s="12" t="n">
        <f aca="false">IFERROR('원자료(월별지수)'!BJ21/'원자료(월별지수)'!BI21-1,"")</f>
        <v>0.00284474788421862</v>
      </c>
      <c r="BH21" s="12" t="n">
        <f aca="false">IFERROR('원자료(월별지수)'!BK21/'원자료(월별지수)'!BJ21-1,"")</f>
        <v>0.0182965747110135</v>
      </c>
      <c r="BI21" s="12" t="n">
        <f aca="false">IFERROR('원자료(월별지수)'!BL21/'원자료(월별지수)'!BK21-1,"")</f>
        <v>0.00675534507974085</v>
      </c>
      <c r="BJ21" s="12" t="n">
        <f aca="false">IFERROR('원자료(월별지수)'!BM21/'원자료(월별지수)'!BL21-1,"")</f>
        <v>0.0583840619811842</v>
      </c>
      <c r="BK21" s="12" t="n">
        <f aca="false">IFERROR('원자료(월별지수)'!BN21/'원자료(월별지수)'!BM21-1,"")</f>
        <v>0.000457516339869235</v>
      </c>
      <c r="BL21" s="12" t="n">
        <f aca="false">IFERROR('원자료(월별지수)'!BO21/'원자료(월별지수)'!BN21-1,"")</f>
        <v>0.00516103743385399</v>
      </c>
      <c r="BM21" s="12" t="n">
        <f aca="false">IFERROR('원자료(월별지수)'!BP21/'원자료(월별지수)'!BO21-1,"")</f>
        <v>0.0032497075263227</v>
      </c>
      <c r="BN21" s="12" t="n">
        <f aca="false">IFERROR('원자료(월별지수)'!BQ21/'원자료(월별지수)'!BP21-1,"")</f>
        <v>-0.00984711065042765</v>
      </c>
    </row>
    <row r="22" customFormat="false" ht="15" hidden="false" customHeight="false" outlineLevel="0" collapsed="false">
      <c r="A22" s="8" t="s">
        <v>103</v>
      </c>
      <c r="B22" s="9" t="s">
        <v>110</v>
      </c>
      <c r="C22" s="12" t="n">
        <f aca="false">IFERROR('원자료(월별지수)'!F22/'원자료(월별지수)'!E22-1,"")</f>
        <v>0.424049534170476</v>
      </c>
      <c r="D22" s="12" t="n">
        <f aca="false">IFERROR('원자료(월별지수)'!G22/'원자료(월별지수)'!F22-1,"")</f>
        <v>-0.0161323093177292</v>
      </c>
      <c r="E22" s="12" t="n">
        <f aca="false">IFERROR('원자료(월별지수)'!H22/'원자료(월별지수)'!G22-1,"")</f>
        <v>-0.163885676524038</v>
      </c>
      <c r="F22" s="12" t="n">
        <f aca="false">IFERROR('원자료(월별지수)'!I22/'원자료(월별지수)'!H22-1,"")</f>
        <v>-0.322515313179214</v>
      </c>
      <c r="G22" s="12" t="n">
        <f aca="false">IFERROR('원자료(월별지수)'!J22/'원자료(월별지수)'!I22-1,"")</f>
        <v>-0.604812249362012</v>
      </c>
      <c r="H22" s="12" t="n">
        <f aca="false">IFERROR('원자료(월별지수)'!K22/'원자료(월별지수)'!J22-1,"")</f>
        <v>0.0195571955719556</v>
      </c>
      <c r="I22" s="12" t="n">
        <f aca="false">IFERROR('원자료(월별지수)'!L22/'원자료(월별지수)'!K22-1,"")</f>
        <v>0.326275787187839</v>
      </c>
      <c r="J22" s="12" t="n">
        <f aca="false">IFERROR('원자료(월별지수)'!M22/'원자료(월별지수)'!L22-1,"")</f>
        <v>0.161822895347251</v>
      </c>
      <c r="K22" s="12" t="n">
        <f aca="false">IFERROR('원자료(월별지수)'!N22/'원자료(월별지수)'!M22-1,"")</f>
        <v>-0.0501467997651205</v>
      </c>
      <c r="L22" s="12" t="n">
        <f aca="false">IFERROR('원자료(월별지수)'!O22/'원자료(월별지수)'!N22-1,"")</f>
        <v>0.112636003956479</v>
      </c>
      <c r="M22" s="12" t="n">
        <f aca="false">IFERROR('원자료(월별지수)'!P22/'원자료(월별지수)'!O22-1,"")</f>
        <v>-0.154128236470719</v>
      </c>
      <c r="N22" s="12" t="n">
        <f aca="false">IFERROR('원자료(월별지수)'!Q22/'원자료(월별지수)'!P22-1,"")</f>
        <v>-0.0207566999474513</v>
      </c>
      <c r="O22" s="12" t="n">
        <f aca="false">IFERROR('원자료(월별지수)'!R22/'원자료(월별지수)'!Q22-1,"")</f>
        <v>-0.016098738932117</v>
      </c>
      <c r="P22" s="12" t="n">
        <f aca="false">IFERROR('원자료(월별지수)'!S22/'원자료(월별지수)'!R22-1,"")</f>
        <v>0.152849740932642</v>
      </c>
      <c r="Q22" s="12" t="n">
        <f aca="false">IFERROR('원자료(월별지수)'!T22/'원자료(월별지수)'!S22-1,"")</f>
        <v>-0.221170904790065</v>
      </c>
      <c r="R22" s="12" t="n">
        <f aca="false">IFERROR('원자료(월별지수)'!U22/'원자료(월별지수)'!T22-1,"")</f>
        <v>0.194533029612756</v>
      </c>
      <c r="S22" s="12" t="n">
        <f aca="false">IFERROR('원자료(월별지수)'!V22/'원자료(월별지수)'!U22-1,"")</f>
        <v>0.110729722857869</v>
      </c>
      <c r="T22" s="12" t="n">
        <f aca="false">IFERROR('원자료(월별지수)'!W22/'원자료(월별지수)'!V22-1,"")</f>
        <v>0.22055625500744</v>
      </c>
      <c r="U22" s="12" t="n">
        <f aca="false">IFERROR('원자료(월별지수)'!X22/'원자료(월별지수)'!W22-1,"")</f>
        <v>0.10933983495874</v>
      </c>
      <c r="V22" s="12" t="n">
        <f aca="false">IFERROR('원자료(월별지수)'!Y22/'원자료(월별지수)'!X22-1,"")</f>
        <v>-0.0648351648351648</v>
      </c>
      <c r="W22" s="12" t="n">
        <f aca="false">IFERROR('원자료(월별지수)'!Z22/'원자료(월별지수)'!Y22-1,"")</f>
        <v>-0.0279309409744192</v>
      </c>
      <c r="X22" s="12" t="n">
        <f aca="false">IFERROR('원자료(월별지수)'!AA22/'원자료(월별지수)'!Z22-1,"")</f>
        <v>0.000464943276920149</v>
      </c>
      <c r="Y22" s="12" t="n">
        <f aca="false">IFERROR('원자료(월별지수)'!AB22/'원자료(월별지수)'!AA22-1,"")</f>
        <v>-0.0492610837438423</v>
      </c>
      <c r="Z22" s="12" t="n">
        <f aca="false">IFERROR('원자료(월별지수)'!AC22/'원자료(월별지수)'!AB22-1,"")</f>
        <v>-0.0261022582852674</v>
      </c>
      <c r="AA22" s="12" t="n">
        <f aca="false">IFERROR('원자료(월별지수)'!AD22/'원자료(월별지수)'!AC22-1,"")</f>
        <v>0.10851234691829</v>
      </c>
      <c r="AB22" s="12" t="n">
        <f aca="false">IFERROR('원자료(월별지수)'!AE22/'원자료(월별지수)'!AD22-1,"")</f>
        <v>0.0515258534818437</v>
      </c>
      <c r="AC22" s="12" t="n">
        <f aca="false">IFERROR('원자료(월별지수)'!AF22/'원자료(월별지수)'!AE22-1,"")</f>
        <v>-0.28815018945918</v>
      </c>
      <c r="AD22" s="12" t="n">
        <f aca="false">IFERROR('원자료(월별지수)'!AG22/'원자료(월별지수)'!AF22-1,"")</f>
        <v>0.274739898378902</v>
      </c>
      <c r="AE22" s="12" t="n">
        <f aca="false">IFERROR('원자료(월별지수)'!AH22/'원자료(월별지수)'!AG22-1,"")</f>
        <v>-0.0221125557559078</v>
      </c>
      <c r="AF22" s="12" t="n">
        <f aca="false">IFERROR('원자료(월별지수)'!AI22/'원자료(월별지수)'!AH22-1,"")</f>
        <v>0.209627329192547</v>
      </c>
      <c r="AG22" s="12" t="n">
        <f aca="false">IFERROR('원자료(월별지수)'!AJ22/'원자료(월별지수)'!AI22-1,"")</f>
        <v>-0.00625802310654688</v>
      </c>
      <c r="AH22" s="12" t="n">
        <f aca="false">IFERROR('원자료(월별지수)'!AK22/'원자료(월별지수)'!AJ22-1,"")</f>
        <v>-0.0602292911351525</v>
      </c>
      <c r="AI22" s="12" t="n">
        <f aca="false">IFERROR('원자료(월별지수)'!AL22/'원자료(월별지수)'!AK22-1,"")</f>
        <v>0.288144329896907</v>
      </c>
      <c r="AJ22" s="12" t="n">
        <f aca="false">IFERROR('원자료(월별지수)'!AM22/'원자료(월별지수)'!AL22-1,"")</f>
        <v>0.262104841936775</v>
      </c>
      <c r="AK22" s="12" t="n">
        <f aca="false">IFERROR('원자료(월별지수)'!AN22/'원자료(월별지수)'!AM22-1,"")</f>
        <v>0.03857535404777</v>
      </c>
      <c r="AL22" s="12" t="n">
        <f aca="false">IFERROR('원자료(월별지수)'!AO22/'원자료(월별지수)'!AN22-1,"")</f>
        <v>-0.0194871273023303</v>
      </c>
      <c r="AM22" s="12" t="n">
        <f aca="false">IFERROR('원자료(월별지수)'!AP22/'원자료(월별지수)'!AO22-1,"")</f>
        <v>-0.0739453064189715</v>
      </c>
      <c r="AN22" s="12" t="n">
        <f aca="false">IFERROR('원자료(월별지수)'!AQ22/'원자료(월별지수)'!AP22-1,"")</f>
        <v>-0.142384848145243</v>
      </c>
      <c r="AO22" s="12" t="n">
        <f aca="false">IFERROR('원자료(월별지수)'!AR22/'원자료(월별지수)'!AQ22-1,"")</f>
        <v>-0.219862789937929</v>
      </c>
      <c r="AP22" s="12" t="n">
        <f aca="false">IFERROR('원자료(월별지수)'!AS22/'원자료(월별지수)'!AR22-1,"")</f>
        <v>-0.107035175879397</v>
      </c>
      <c r="AQ22" s="12" t="n">
        <f aca="false">IFERROR('원자료(월별지수)'!AT22/'원자료(월별지수)'!AS22-1,"")</f>
        <v>-0.102419808666292</v>
      </c>
      <c r="AR22" s="12" t="n">
        <f aca="false">IFERROR('원자료(월별지수)'!AU22/'원자료(월별지수)'!AT22-1,"")</f>
        <v>0.0258098223615464</v>
      </c>
      <c r="AS22" s="12" t="n">
        <f aca="false">IFERROR('원자료(월별지수)'!AV22/'원자료(월별지수)'!AU22-1,"")</f>
        <v>0.0746663950290312</v>
      </c>
      <c r="AT22" s="12" t="n">
        <f aca="false">IFERROR('원자료(월별지수)'!AW22/'원자료(월별지수)'!AV22-1,"")</f>
        <v>0.125592417061611</v>
      </c>
      <c r="AU22" s="12" t="n">
        <f aca="false">IFERROR('원자료(월별지수)'!AX22/'원자료(월별지수)'!AW22-1,"")</f>
        <v>-0.0650105263157895</v>
      </c>
      <c r="AV22" s="12" t="n">
        <f aca="false">IFERROR('원자료(월별지수)'!AY22/'원자료(월별지수)'!AX22-1,"")</f>
        <v>0.135729082230028</v>
      </c>
      <c r="AW22" s="12" t="n">
        <f aca="false">IFERROR('원자료(월별지수)'!AZ22/'원자료(월별지수)'!AY22-1,"")</f>
        <v>0.0417922283901666</v>
      </c>
      <c r="AX22" s="12" t="n">
        <f aca="false">IFERROR('원자료(월별지수)'!BA22/'원자료(월별지수)'!AZ22-1,"")</f>
        <v>-0.0812970997944736</v>
      </c>
      <c r="AY22" s="12" t="n">
        <f aca="false">IFERROR('원자료(월별지수)'!BB22/'원자료(월별지수)'!BA22-1,"")</f>
        <v>0.045571298367719</v>
      </c>
      <c r="AZ22" s="12" t="n">
        <f aca="false">IFERROR('원자료(월별지수)'!BC22/'원자료(월별지수)'!BB22-1,"")</f>
        <v>-0.0455662096838101</v>
      </c>
      <c r="BA22" s="12" t="n">
        <f aca="false">IFERROR('원자료(월별지수)'!BD22/'원자료(월별지수)'!BC22-1,"")</f>
        <v>-0.375456658917303</v>
      </c>
      <c r="BB22" s="12" t="n">
        <f aca="false">IFERROR('원자료(월별지수)'!BE22/'원자료(월별지수)'!BD22-1,"")</f>
        <v>-0.107418239829832</v>
      </c>
      <c r="BC22" s="12" t="n">
        <f aca="false">IFERROR('원자료(월별지수)'!BF22/'원자료(월별지수)'!BE22-1,"")</f>
        <v>0.104706583258862</v>
      </c>
      <c r="BD22" s="12" t="n">
        <f aca="false">IFERROR('원자료(월별지수)'!BG22/'원자료(월별지수)'!BF22-1,"")</f>
        <v>0.183227720102467</v>
      </c>
      <c r="BE22" s="12" t="n">
        <f aca="false">IFERROR('원자료(월별지수)'!BH22/'원자료(월별지수)'!BG22-1,"")</f>
        <v>0.116112123974476</v>
      </c>
      <c r="BF22" s="12" t="n">
        <f aca="false">IFERROR('원자료(월별지수)'!BI22/'원자료(월별지수)'!BH22-1,"")</f>
        <v>-0.0534966819806024</v>
      </c>
      <c r="BG22" s="12" t="n">
        <f aca="false">IFERROR('원자료(월별지수)'!BJ22/'원자료(월별지수)'!BI22-1,"")</f>
        <v>0.104303742854061</v>
      </c>
      <c r="BH22" s="12" t="n">
        <f aca="false">IFERROR('원자료(월별지수)'!BK22/'원자료(월별지수)'!BJ22-1,"")</f>
        <v>0.0415120140652472</v>
      </c>
      <c r="BI22" s="12" t="n">
        <f aca="false">IFERROR('원자료(월별지수)'!BL22/'원자료(월별지수)'!BK22-1,"")</f>
        <v>0.0333864766013317</v>
      </c>
      <c r="BJ22" s="12" t="n">
        <f aca="false">IFERROR('원자료(월별지수)'!BM22/'원자료(월별지수)'!BL22-1,"")</f>
        <v>-0.102459388329249</v>
      </c>
      <c r="BK22" s="12" t="n">
        <f aca="false">IFERROR('원자료(월별지수)'!BN22/'원자료(월별지수)'!BM22-1,"")</f>
        <v>0.0816986855409505</v>
      </c>
      <c r="BL22" s="12" t="n">
        <f aca="false">IFERROR('원자료(월별지수)'!BO22/'원자료(월별지수)'!BN22-1,"")</f>
        <v>-0.163768928771733</v>
      </c>
      <c r="BM22" s="12" t="n">
        <f aca="false">IFERROR('원자료(월별지수)'!BP22/'원자료(월별지수)'!BO22-1,"")</f>
        <v>-0.248267382070199</v>
      </c>
      <c r="BN22" s="12" t="n">
        <f aca="false">IFERROR('원자료(월별지수)'!BQ22/'원자료(월별지수)'!BP22-1,"")</f>
        <v>0.255762081784387</v>
      </c>
    </row>
    <row r="23" customFormat="false" ht="15" hidden="false" customHeight="false" outlineLevel="0" collapsed="false">
      <c r="A23" s="8" t="s">
        <v>103</v>
      </c>
      <c r="B23" s="9" t="s">
        <v>111</v>
      </c>
      <c r="C23" s="12" t="n">
        <f aca="false">IFERROR('원자료(월별지수)'!F23/'원자료(월별지수)'!E23-1,"")</f>
        <v>0.116787453962219</v>
      </c>
      <c r="D23" s="12" t="n">
        <f aca="false">IFERROR('원자료(월별지수)'!G23/'원자료(월별지수)'!F23-1,"")</f>
        <v>-0.0322340425531915</v>
      </c>
      <c r="E23" s="12" t="n">
        <f aca="false">IFERROR('원자료(월별지수)'!H23/'원자료(월별지수)'!G23-1,"")</f>
        <v>-0.46020666153677</v>
      </c>
      <c r="F23" s="12" t="n">
        <f aca="false">IFERROR('원자료(월별지수)'!I23/'원자료(월별지수)'!H23-1,"")</f>
        <v>-0.403013949699623</v>
      </c>
      <c r="G23" s="12" t="n">
        <f aca="false">IFERROR('원자료(월별지수)'!J23/'원자료(월별지수)'!I23-1,"")</f>
        <v>0.0692478253453863</v>
      </c>
      <c r="H23" s="12" t="n">
        <f aca="false">IFERROR('원자료(월별지수)'!K23/'원자료(월별지수)'!J23-1,"")</f>
        <v>0.108629765512841</v>
      </c>
      <c r="I23" s="12" t="n">
        <f aca="false">IFERROR('원자료(월별지수)'!L23/'원자료(월별지수)'!K23-1,"")</f>
        <v>0.232517985611511</v>
      </c>
      <c r="J23" s="12" t="n">
        <f aca="false">IFERROR('원자료(월별지수)'!M23/'원자료(월별지수)'!L23-1,"")</f>
        <v>0.0442446883025918</v>
      </c>
      <c r="K23" s="12" t="n">
        <f aca="false">IFERROR('원자료(월별지수)'!N23/'원자료(월별지수)'!M23-1,"")</f>
        <v>-0.0538848518725545</v>
      </c>
      <c r="L23" s="12" t="n">
        <f aca="false">IFERROR('원자료(월별지수)'!O23/'원자료(월별지수)'!N23-1,"")</f>
        <v>0.0743235259364292</v>
      </c>
      <c r="M23" s="12" t="n">
        <f aca="false">IFERROR('원자료(월별지수)'!P23/'원자료(월별지수)'!O23-1,"")</f>
        <v>-0.0883194016717994</v>
      </c>
      <c r="N23" s="12" t="n">
        <f aca="false">IFERROR('원자료(월별지수)'!Q23/'원자료(월별지수)'!P23-1,"")</f>
        <v>-0.192061768609</v>
      </c>
      <c r="O23" s="12" t="n">
        <f aca="false">IFERROR('원자료(월별지수)'!R23/'원자료(월별지수)'!Q23-1,"")</f>
        <v>-0.17575033597133</v>
      </c>
      <c r="P23" s="12" t="n">
        <f aca="false">IFERROR('원자료(월별지수)'!S23/'원자료(월별지수)'!R23-1,"")</f>
        <v>-0.0563405797101449</v>
      </c>
      <c r="Q23" s="12" t="n">
        <f aca="false">IFERROR('원자료(월별지수)'!T23/'원자료(월별지수)'!S23-1,"")</f>
        <v>0.0752543674409674</v>
      </c>
      <c r="R23" s="12" t="n">
        <f aca="false">IFERROR('원자료(월별지수)'!U23/'원자료(월별지수)'!T23-1,"")</f>
        <v>0.248348509194787</v>
      </c>
      <c r="S23" s="12" t="n">
        <f aca="false">IFERROR('원자료(월별지수)'!V23/'원자료(월별지수)'!U23-1,"")</f>
        <v>0.840102974828375</v>
      </c>
      <c r="T23" s="12" t="n">
        <f aca="false">IFERROR('원자료(월별지수)'!W23/'원자료(월별지수)'!V23-1,"")</f>
        <v>0.0602362816726256</v>
      </c>
      <c r="U23" s="12" t="n">
        <f aca="false">IFERROR('원자료(월별지수)'!X23/'원자료(월별지수)'!W23-1,"")</f>
        <v>0.0282970456711387</v>
      </c>
      <c r="V23" s="12" t="n">
        <f aca="false">IFERROR('원자료(월별지수)'!Y23/'원자료(월별지수)'!X23-1,"")</f>
        <v>-0.0134027233193129</v>
      </c>
      <c r="W23" s="12" t="n">
        <f aca="false">IFERROR('원자료(월별지수)'!Z23/'원자료(월별지수)'!Y23-1,"")</f>
        <v>0.0212443095599395</v>
      </c>
      <c r="X23" s="12" t="n">
        <f aca="false">IFERROR('원자료(월별지수)'!AA23/'원자료(월별지수)'!Z23-1,"")</f>
        <v>-0.00169815325833167</v>
      </c>
      <c r="Y23" s="12" t="n">
        <f aca="false">IFERROR('원자료(월별지수)'!AB23/'원자료(월별지수)'!AA23-1,"")</f>
        <v>-0.00701679778864561</v>
      </c>
      <c r="Z23" s="12" t="n">
        <f aca="false">IFERROR('원자료(월별지수)'!AC23/'원자료(월별지수)'!AB23-1,"")</f>
        <v>-0.00892219842969311</v>
      </c>
      <c r="AA23" s="12" t="n">
        <f aca="false">IFERROR('원자료(월별지수)'!AD23/'원자료(월별지수)'!AC23-1,"")</f>
        <v>0.0338494778537992</v>
      </c>
      <c r="AB23" s="12" t="n">
        <f aca="false">IFERROR('원자료(월별지수)'!AE23/'원자료(월별지수)'!AD23-1,"")</f>
        <v>0.122953674677812</v>
      </c>
      <c r="AC23" s="12" t="n">
        <f aca="false">IFERROR('원자료(월별지수)'!AF23/'원자료(월별지수)'!AE23-1,"")</f>
        <v>-0.264205955334988</v>
      </c>
      <c r="AD23" s="12" t="n">
        <f aca="false">IFERROR('원자료(월별지수)'!AG23/'원자료(월별지수)'!AF23-1,"")</f>
        <v>-0.0488154455779446</v>
      </c>
      <c r="AE23" s="12" t="n">
        <f aca="false">IFERROR('원자료(월별지수)'!AH23/'원자료(월별지수)'!AG23-1,"")</f>
        <v>0.00975004431838333</v>
      </c>
      <c r="AF23" s="12" t="n">
        <f aca="false">IFERROR('원자료(월별지수)'!AI23/'원자료(월별지수)'!AH23-1,"")</f>
        <v>0.075754915730337</v>
      </c>
      <c r="AG23" s="12" t="n">
        <f aca="false">IFERROR('원자료(월별지수)'!AJ23/'원자료(월별지수)'!AI23-1,"")</f>
        <v>0.0523051815585476</v>
      </c>
      <c r="AH23" s="12" t="n">
        <f aca="false">IFERROR('원자료(월별지수)'!AK23/'원자료(월별지수)'!AJ23-1,"")</f>
        <v>-0.0459057071960298</v>
      </c>
      <c r="AI23" s="12" t="n">
        <f aca="false">IFERROR('원자료(월별지수)'!AL23/'원자료(월별지수)'!AK23-1,"")</f>
        <v>-0.019424577373212</v>
      </c>
      <c r="AJ23" s="12" t="n">
        <f aca="false">IFERROR('원자료(월별지수)'!AM23/'원자료(월별지수)'!AL23-1,"")</f>
        <v>-0.0265230004144219</v>
      </c>
      <c r="AK23" s="12" t="n">
        <f aca="false">IFERROR('원자료(월별지수)'!AN23/'원자료(월별지수)'!AM23-1,"")</f>
        <v>0.0123456790123457</v>
      </c>
      <c r="AL23" s="12" t="n">
        <f aca="false">IFERROR('원자료(월별지수)'!AO23/'원자료(월별지수)'!AN23-1,"")</f>
        <v>0.0533221194280908</v>
      </c>
      <c r="AM23" s="12" t="n">
        <f aca="false">IFERROR('원자료(월별지수)'!AP23/'원자료(월별지수)'!AO23-1,"")</f>
        <v>-0.0126157777068029</v>
      </c>
      <c r="AN23" s="12" t="n">
        <f aca="false">IFERROR('원자료(월별지수)'!AQ23/'원자료(월별지수)'!AP23-1,"")</f>
        <v>0.189390263626072</v>
      </c>
      <c r="AO23" s="12" t="n">
        <f aca="false">IFERROR('원자료(월별지수)'!AR23/'원자료(월별지수)'!AQ23-1,"")</f>
        <v>0.0441936361163993</v>
      </c>
      <c r="AP23" s="12" t="n">
        <f aca="false">IFERROR('원자료(월별지수)'!AS23/'원자료(월별지수)'!AR23-1,"")</f>
        <v>-0.198919130095065</v>
      </c>
      <c r="AQ23" s="12" t="n">
        <f aca="false">IFERROR('원자료(월별지수)'!AT23/'원자료(월별지수)'!AS23-1,"")</f>
        <v>-0.190522636755263</v>
      </c>
      <c r="AR23" s="12" t="n">
        <f aca="false">IFERROR('원자료(월별지수)'!AU23/'원자료(월별지수)'!AT23-1,"")</f>
        <v>0.0266090972989255</v>
      </c>
      <c r="AS23" s="12" t="n">
        <f aca="false">IFERROR('원자료(월별지수)'!AV23/'원자료(월별지수)'!AU23-1,"")</f>
        <v>0.0657276995305165</v>
      </c>
      <c r="AT23" s="12" t="n">
        <f aca="false">IFERROR('원자료(월별지수)'!AW23/'원자료(월별지수)'!AV23-1,"")</f>
        <v>0.0334067547723935</v>
      </c>
      <c r="AU23" s="12" t="n">
        <f aca="false">IFERROR('원자료(월별지수)'!AX23/'원자료(월별지수)'!AW23-1,"")</f>
        <v>-0.00097690941385431</v>
      </c>
      <c r="AV23" s="12" t="n">
        <f aca="false">IFERROR('원자료(월별지수)'!AY23/'원자료(월별지수)'!AX23-1,"")</f>
        <v>0.0336029869321717</v>
      </c>
      <c r="AW23" s="12" t="n">
        <f aca="false">IFERROR('원자료(월별지수)'!AZ23/'원자료(월별지수)'!AY23-1,"")</f>
        <v>0.0247699320547004</v>
      </c>
      <c r="AX23" s="12" t="n">
        <f aca="false">IFERROR('원자료(월별지수)'!BA23/'원자료(월별지수)'!AZ23-1,"")</f>
        <v>0.135627360469996</v>
      </c>
      <c r="AY23" s="12" t="n">
        <f aca="false">IFERROR('원자료(월별지수)'!BB23/'원자료(월별지수)'!BA23-1,"")</f>
        <v>0.0629665213214101</v>
      </c>
      <c r="AZ23" s="12" t="n">
        <f aca="false">IFERROR('원자료(월별지수)'!BC23/'원자료(월별지수)'!BB23-1,"")</f>
        <v>0.135924355141486</v>
      </c>
      <c r="BA23" s="12" t="n">
        <f aca="false">IFERROR('원자료(월별지수)'!BD23/'원자료(월별지수)'!BC23-1,"")</f>
        <v>-0.157914065369078</v>
      </c>
      <c r="BB23" s="12" t="n">
        <f aca="false">IFERROR('원자료(월별지수)'!BE23/'원자료(월별지수)'!BD23-1,"")</f>
        <v>-0.426951591801134</v>
      </c>
      <c r="BC23" s="12" t="n">
        <f aca="false">IFERROR('원자료(월별지수)'!BF23/'원자료(월별지수)'!BE23-1,"")</f>
        <v>-0.145611364789447</v>
      </c>
      <c r="BD23" s="12" t="n">
        <f aca="false">IFERROR('원자료(월별지수)'!BG23/'원자료(월별지수)'!BF23-1,"")</f>
        <v>0.295279097387174</v>
      </c>
      <c r="BE23" s="12" t="n">
        <f aca="false">IFERROR('원자료(월별지수)'!BH23/'원자료(월별지수)'!BG23-1,"")</f>
        <v>0.188309455587393</v>
      </c>
      <c r="BF23" s="12" t="n">
        <f aca="false">IFERROR('원자료(월별지수)'!BI23/'원자료(월별지수)'!BH23-1,"")</f>
        <v>0.0298032407407407</v>
      </c>
      <c r="BG23" s="12" t="n">
        <f aca="false">IFERROR('원자료(월별지수)'!BJ23/'원자료(월별지수)'!BI23-1,"")</f>
        <v>-0.0110517935749742</v>
      </c>
      <c r="BH23" s="12" t="n">
        <f aca="false">IFERROR('원자료(월별지수)'!BK23/'원자료(월별지수)'!BJ23-1,"")</f>
        <v>-0.0186570697982763</v>
      </c>
      <c r="BI23" s="12" t="n">
        <f aca="false">IFERROR('원자료(월별지수)'!BL23/'원자료(월별지수)'!BK23-1,"")</f>
        <v>-0.0120633082416521</v>
      </c>
      <c r="BJ23" s="12" t="n">
        <f aca="false">IFERROR('원자료(월별지수)'!BM23/'원자료(월별지수)'!BL23-1,"")</f>
        <v>0.00293054605841547</v>
      </c>
      <c r="BK23" s="12" t="n">
        <f aca="false">IFERROR('원자료(월별지수)'!BN23/'원자료(월별지수)'!BM23-1,"")</f>
        <v>0.00740235706632908</v>
      </c>
      <c r="BL23" s="12" t="n">
        <f aca="false">IFERROR('원자료(월별지수)'!BO23/'원자료(월별지수)'!BN23-1,"")</f>
        <v>-0.264333365561249</v>
      </c>
      <c r="BM23" s="12" t="n">
        <f aca="false">IFERROR('원자료(월별지수)'!BP23/'원자료(월별지수)'!BO23-1,"")</f>
        <v>-0.0634774609015639</v>
      </c>
      <c r="BN23" s="12" t="n">
        <f aca="false">IFERROR('원자료(월별지수)'!BQ23/'원자료(월별지수)'!BP23-1,"")</f>
        <v>-0.161801852371597</v>
      </c>
    </row>
    <row r="24" customFormat="false" ht="15" hidden="false" customHeight="false" outlineLevel="0" collapsed="false">
      <c r="A24" s="8" t="s">
        <v>103</v>
      </c>
      <c r="B24" s="9" t="s">
        <v>112</v>
      </c>
      <c r="C24" s="12" t="n">
        <f aca="false">IFERROR('원자료(월별지수)'!F24/'원자료(월별지수)'!E24-1,"")</f>
        <v>0.0114429249232488</v>
      </c>
      <c r="D24" s="12" t="n">
        <f aca="false">IFERROR('원자료(월별지수)'!G24/'원자료(월별지수)'!F24-1,"")</f>
        <v>-0.0395971302428256</v>
      </c>
      <c r="E24" s="12" t="n">
        <f aca="false">IFERROR('원자료(월별지수)'!H24/'원자료(월별지수)'!G24-1,"")</f>
        <v>-0.0189627927021979</v>
      </c>
      <c r="F24" s="12" t="n">
        <f aca="false">IFERROR('원자료(월별지수)'!I24/'원자료(월별지수)'!H24-1,"")</f>
        <v>-0.00658954458925176</v>
      </c>
      <c r="G24" s="12" t="n">
        <f aca="false">IFERROR('원자료(월별지수)'!J24/'원자료(월별지수)'!I24-1,"")</f>
        <v>-0.00810731132075471</v>
      </c>
      <c r="H24" s="12" t="n">
        <f aca="false">IFERROR('원자료(월별지수)'!K24/'원자료(월별지수)'!J24-1,"")</f>
        <v>0.00178332590280861</v>
      </c>
      <c r="I24" s="12" t="n">
        <f aca="false">IFERROR('원자료(월별지수)'!L24/'원자료(월별지수)'!K24-1,"")</f>
        <v>-0.00830737279335414</v>
      </c>
      <c r="J24" s="12" t="n">
        <f aca="false">IFERROR('원자료(월별지수)'!M24/'원자료(월별지수)'!L24-1,"")</f>
        <v>-0.088257292445774</v>
      </c>
      <c r="K24" s="12" t="n">
        <f aca="false">IFERROR('원자료(월별지수)'!N24/'원자료(월별지수)'!M24-1,"")</f>
        <v>-0.179983593109106</v>
      </c>
      <c r="L24" s="12" t="n">
        <f aca="false">IFERROR('원자료(월별지수)'!O24/'원자료(월별지수)'!N24-1,"")</f>
        <v>-0.142056822729091</v>
      </c>
      <c r="M24" s="12" t="n">
        <f aca="false">IFERROR('원자료(월별지수)'!P24/'원자료(월별지수)'!O24-1,"")</f>
        <v>-0.0541044776119403</v>
      </c>
      <c r="N24" s="12" t="n">
        <f aca="false">IFERROR('원자료(월별지수)'!Q24/'원자료(월별지수)'!P24-1,"")</f>
        <v>-0.00616370808678501</v>
      </c>
      <c r="O24" s="12" t="n">
        <f aca="false">IFERROR('원자료(월별지수)'!R24/'원자료(월별지수)'!Q24-1,"")</f>
        <v>0.00520962540312575</v>
      </c>
      <c r="P24" s="12" t="n">
        <f aca="false">IFERROR('원자료(월별지수)'!S24/'원자료(월별지수)'!R24-1,"")</f>
        <v>0.0269002961500493</v>
      </c>
      <c r="Q24" s="12" t="n">
        <f aca="false">IFERROR('원자료(월별지수)'!T24/'원자료(월별지수)'!S24-1,"")</f>
        <v>-0.03436673876472</v>
      </c>
      <c r="R24" s="12" t="n">
        <f aca="false">IFERROR('원자료(월별지수)'!U24/'원자료(월별지수)'!T24-1,"")</f>
        <v>-0.00572424091587842</v>
      </c>
      <c r="S24" s="12" t="n">
        <f aca="false">IFERROR('원자료(월별지수)'!V24/'원자료(월별지수)'!U24-1,"")</f>
        <v>0.00150187734668328</v>
      </c>
      <c r="T24" s="12" t="n">
        <f aca="false">IFERROR('원자료(월별지수)'!W24/'원자료(월별지수)'!V24-1,"")</f>
        <v>0.00224943764058994</v>
      </c>
      <c r="U24" s="12" t="n">
        <f aca="false">IFERROR('원자료(월별지수)'!X24/'원자료(월별지수)'!W24-1,"")</f>
        <v>0.0416458852867831</v>
      </c>
      <c r="V24" s="12" t="n">
        <f aca="false">IFERROR('원자료(월별지수)'!Y24/'원자료(월별지수)'!X24-1,"")</f>
        <v>0.389514005266938</v>
      </c>
      <c r="W24" s="12" t="n">
        <f aca="false">IFERROR('원자료(월별지수)'!Z24/'원자료(월별지수)'!Y24-1,"")</f>
        <v>0.339765678842178</v>
      </c>
      <c r="X24" s="12" t="n">
        <f aca="false">IFERROR('원자료(월별지수)'!AA24/'원자료(월별지수)'!Z24-1,"")</f>
        <v>0.306712962962963</v>
      </c>
      <c r="Y24" s="12" t="n">
        <f aca="false">IFERROR('원자료(월별지수)'!AB24/'원자료(월별지수)'!AA24-1,"")</f>
        <v>0.167207951973231</v>
      </c>
      <c r="Z24" s="12" t="n">
        <f aca="false">IFERROR('원자료(월별지수)'!AC24/'원자료(월별지수)'!AB24-1,"")</f>
        <v>-0.000674536256323743</v>
      </c>
      <c r="AA24" s="12" t="n">
        <f aca="false">IFERROR('원자료(월별지수)'!AD24/'원자료(월별지수)'!AC24-1,"")</f>
        <v>0.00354370570367868</v>
      </c>
      <c r="AB24" s="12" t="n">
        <f aca="false">IFERROR('원자료(월별지수)'!AE24/'원자료(월별지수)'!AD24-1,"")</f>
        <v>0.0608710274087776</v>
      </c>
      <c r="AC24" s="12" t="n">
        <f aca="false">IFERROR('원자료(월별지수)'!AF24/'원자료(월별지수)'!AE24-1,"")</f>
        <v>0.0385956569979395</v>
      </c>
      <c r="AD24" s="12" t="n">
        <f aca="false">IFERROR('원자료(월별지수)'!AG24/'원자료(월별지수)'!AF24-1,"")</f>
        <v>0.132239603204884</v>
      </c>
      <c r="AE24" s="12" t="n">
        <f aca="false">IFERROR('원자료(월별지수)'!AH24/'원자료(월별지수)'!AG24-1,"")</f>
        <v>0.0237228737026554</v>
      </c>
      <c r="AF24" s="12" t="n">
        <f aca="false">IFERROR('원자료(월별지수)'!AI24/'원자료(월별지수)'!AH24-1,"")</f>
        <v>-0.028768926925609</v>
      </c>
      <c r="AG24" s="12" t="n">
        <f aca="false">IFERROR('원자료(월별지수)'!AJ24/'원자료(월별지수)'!AI24-1,"")</f>
        <v>0.032603538263404</v>
      </c>
      <c r="AH24" s="12" t="n">
        <f aca="false">IFERROR('원자료(월별지수)'!AK24/'원자료(월별지수)'!AJ24-1,"")</f>
        <v>-0.0385978731784167</v>
      </c>
      <c r="AI24" s="12" t="n">
        <f aca="false">IFERROR('원자료(월별지수)'!AL24/'원자료(월별지수)'!AK24-1,"")</f>
        <v>-0.376689881196231</v>
      </c>
      <c r="AJ24" s="12" t="n">
        <f aca="false">IFERROR('원자료(월별지수)'!AM24/'원자료(월별지수)'!AL24-1,"")</f>
        <v>0.0784313725490196</v>
      </c>
      <c r="AK24" s="12" t="n">
        <f aca="false">IFERROR('원자료(월별지수)'!AN24/'원자료(월별지수)'!AM24-1,"")</f>
        <v>-0.00203148806500764</v>
      </c>
      <c r="AL24" s="12" t="n">
        <f aca="false">IFERROR('원자료(월별지수)'!AO24/'원자료(월별지수)'!AN24-1,"")</f>
        <v>0.0120101781170485</v>
      </c>
      <c r="AM24" s="12" t="n">
        <f aca="false">IFERROR('원자료(월별지수)'!AP24/'원자료(월별지수)'!AO24-1,"")</f>
        <v>0.0833752388615106</v>
      </c>
      <c r="AN24" s="12" t="n">
        <f aca="false">IFERROR('원자료(월별지수)'!AQ24/'원자료(월별지수)'!AP24-1,"")</f>
        <v>-0.000556999628666954</v>
      </c>
      <c r="AO24" s="12" t="n">
        <f aca="false">IFERROR('원자료(월별지수)'!AR24/'원자료(월별지수)'!AQ24-1,"")</f>
        <v>-0.0160691064462195</v>
      </c>
      <c r="AP24" s="12" t="n">
        <f aca="false">IFERROR('원자료(월별지수)'!AS24/'원자료(월별지수)'!AR24-1,"")</f>
        <v>-0.0482394033795904</v>
      </c>
      <c r="AQ24" s="12" t="n">
        <f aca="false">IFERROR('원자료(월별지수)'!AT24/'원자료(월별지수)'!AS24-1,"")</f>
        <v>-0.0228129339416782</v>
      </c>
      <c r="AR24" s="12" t="n">
        <f aca="false">IFERROR('원자료(월별지수)'!AU24/'원자료(월별지수)'!AT24-1,"")</f>
        <v>-0.0278116118554608</v>
      </c>
      <c r="AS24" s="12" t="n">
        <f aca="false">IFERROR('원자료(월별지수)'!AV24/'원자료(월별지수)'!AU24-1,"")</f>
        <v>-0.0113802463979954</v>
      </c>
      <c r="AT24" s="12" t="n">
        <f aca="false">IFERROR('원자료(월별지수)'!AW24/'원자료(월별지수)'!AV24-1,"")</f>
        <v>0.0254514732284297</v>
      </c>
      <c r="AU24" s="12" t="n">
        <f aca="false">IFERROR('원자료(월별지수)'!AX24/'원자료(월별지수)'!AW24-1,"")</f>
        <v>-0.231101956745623</v>
      </c>
      <c r="AV24" s="12" t="n">
        <f aca="false">IFERROR('원자료(월별지수)'!AY24/'원자료(월별지수)'!AX24-1,"")</f>
        <v>-0.0949638360567908</v>
      </c>
      <c r="AW24" s="12" t="n">
        <f aca="false">IFERROR('원자료(월별지수)'!AZ24/'원자료(월별지수)'!AY24-1,"")</f>
        <v>0.0799171229835727</v>
      </c>
      <c r="AX24" s="12" t="n">
        <f aca="false">IFERROR('원자료(월별지수)'!BA24/'원자료(월별지수)'!AZ24-1,"")</f>
        <v>0.0145265177470193</v>
      </c>
      <c r="AY24" s="12" t="n">
        <f aca="false">IFERROR('원자료(월별지수)'!BB24/'원자료(월별지수)'!BA24-1,"")</f>
        <v>0.0244495474807511</v>
      </c>
      <c r="AZ24" s="12" t="n">
        <f aca="false">IFERROR('원자료(월별지수)'!BC24/'원자료(월별지수)'!BB24-1,"")</f>
        <v>0.022811181434599</v>
      </c>
      <c r="BA24" s="12" t="n">
        <f aca="false">IFERROR('원자료(월별지수)'!BD24/'원자료(월별지수)'!BC24-1,"")</f>
        <v>0.00386747453912606</v>
      </c>
      <c r="BB24" s="12" t="n">
        <f aca="false">IFERROR('원자료(월별지수)'!BE24/'원자료(월별지수)'!BD24-1,"")</f>
        <v>-0.00231154488249652</v>
      </c>
      <c r="BC24" s="12" t="n">
        <f aca="false">IFERROR('원자료(월별지수)'!BF24/'원자료(월별지수)'!BE24-1,"")</f>
        <v>0.00617840133865366</v>
      </c>
      <c r="BD24" s="12" t="n">
        <f aca="false">IFERROR('원자료(월별지수)'!BG24/'원자료(월별지수)'!BF24-1,"")</f>
        <v>0.0327491364973775</v>
      </c>
      <c r="BE24" s="12" t="n">
        <f aca="false">IFERROR('원자료(월별지수)'!BH24/'원자료(월별지수)'!BG24-1,"")</f>
        <v>0.0452124365167843</v>
      </c>
      <c r="BF24" s="12" t="n">
        <f aca="false">IFERROR('원자료(월별지수)'!BI24/'원자료(월별지수)'!BH24-1,"")</f>
        <v>0.144821047641621</v>
      </c>
      <c r="BG24" s="12" t="n">
        <f aca="false">IFERROR('원자료(월별지수)'!BJ24/'원자료(월별지수)'!BI24-1,"")</f>
        <v>-0.166252587991718</v>
      </c>
      <c r="BH24" s="12" t="n">
        <f aca="false">IFERROR('원자료(월별지수)'!BK24/'원자료(월별지수)'!BJ24-1,"")</f>
        <v>-0.166997765085672</v>
      </c>
      <c r="BI24" s="12" t="n">
        <f aca="false">IFERROR('원자료(월별지수)'!BL24/'원자료(월별지수)'!BK24-1,"")</f>
        <v>0.0947980324936653</v>
      </c>
      <c r="BJ24" s="12" t="n">
        <f aca="false">IFERROR('원자료(월별지수)'!BM24/'원자료(월별지수)'!BL24-1,"")</f>
        <v>0.0068073519400953</v>
      </c>
      <c r="BK24" s="12" t="n">
        <f aca="false">IFERROR('원자료(월별지수)'!BN24/'원자료(월별지수)'!BM24-1,"")</f>
        <v>0.0106828938471939</v>
      </c>
      <c r="BL24" s="12" t="n">
        <f aca="false">IFERROR('원자료(월별지수)'!BO24/'원자료(월별지수)'!BN24-1,"")</f>
        <v>0.00173936312550183</v>
      </c>
      <c r="BM24" s="12" t="n">
        <f aca="false">IFERROR('원자료(월별지수)'!BP24/'원자료(월별지수)'!BO24-1,"")</f>
        <v>-0.00253773206891939</v>
      </c>
      <c r="BN24" s="12" t="n">
        <f aca="false">IFERROR('원자료(월별지수)'!BQ24/'원자료(월별지수)'!BP24-1,"")</f>
        <v>0.0160685591858596</v>
      </c>
    </row>
    <row r="25" customFormat="false" ht="15" hidden="false" customHeight="false" outlineLevel="0" collapsed="false">
      <c r="A25" s="8" t="s">
        <v>103</v>
      </c>
      <c r="B25" s="9" t="s">
        <v>113</v>
      </c>
      <c r="C25" s="12" t="n">
        <f aca="false">IFERROR('원자료(월별지수)'!F25/'원자료(월별지수)'!E25-1,"")</f>
        <v>0.0528094634558514</v>
      </c>
      <c r="D25" s="12" t="n">
        <f aca="false">IFERROR('원자료(월별지수)'!G25/'원자료(월별지수)'!F25-1,"")</f>
        <v>-0.0940008025682183</v>
      </c>
      <c r="E25" s="12" t="n">
        <f aca="false">IFERROR('원자료(월별지수)'!H25/'원자료(월별지수)'!G25-1,"")</f>
        <v>0.00077510796146596</v>
      </c>
      <c r="F25" s="12" t="n">
        <f aca="false">IFERROR('원자료(월별지수)'!I25/'원자료(월별지수)'!H25-1,"")</f>
        <v>0.0356273511838903</v>
      </c>
      <c r="G25" s="12" t="n">
        <f aca="false">IFERROR('원자료(월별지수)'!J25/'원자료(월별지수)'!I25-1,"")</f>
        <v>0.0291666666666668</v>
      </c>
      <c r="H25" s="12" t="n">
        <f aca="false">IFERROR('원자료(월별지수)'!K25/'원자료(월별지수)'!J25-1,"")</f>
        <v>-0.147202325339977</v>
      </c>
      <c r="I25" s="12" t="n">
        <f aca="false">IFERROR('원자료(월별지수)'!L25/'원자료(월별지수)'!K25-1,"")</f>
        <v>0.157273280584297</v>
      </c>
      <c r="J25" s="12" t="n">
        <f aca="false">IFERROR('원자료(월별지수)'!M25/'원자료(월별지수)'!L25-1,"")</f>
        <v>0.27989902177343</v>
      </c>
      <c r="K25" s="12" t="n">
        <f aca="false">IFERROR('원자료(월별지수)'!N25/'원자료(월별지수)'!M25-1,"")</f>
        <v>-0.0744575936883629</v>
      </c>
      <c r="L25" s="12" t="n">
        <f aca="false">IFERROR('원자료(월별지수)'!O25/'원자료(월별지수)'!N25-1,"")</f>
        <v>-0.0176700408453206</v>
      </c>
      <c r="M25" s="12" t="n">
        <f aca="false">IFERROR('원자료(월별지수)'!P25/'원자료(월별지수)'!O25-1,"")</f>
        <v>0.0769230769230769</v>
      </c>
      <c r="N25" s="12" t="n">
        <f aca="false">IFERROR('원자료(월별지수)'!Q25/'원자료(월별지수)'!P25-1,"")</f>
        <v>0.161238878630183</v>
      </c>
      <c r="O25" s="12" t="n">
        <f aca="false">IFERROR('원자료(월별지수)'!R25/'원자료(월별지수)'!Q25-1,"")</f>
        <v>-0.226526924466932</v>
      </c>
      <c r="P25" s="12" t="n">
        <f aca="false">IFERROR('원자료(월별지수)'!S25/'원자료(월별지수)'!R25-1,"")</f>
        <v>-0.0117746005046258</v>
      </c>
      <c r="Q25" s="12" t="n">
        <f aca="false">IFERROR('원자료(월별지수)'!T25/'원자료(월별지수)'!S25-1,"")</f>
        <v>0.129929078014184</v>
      </c>
      <c r="R25" s="12" t="n">
        <f aca="false">IFERROR('원자료(월별지수)'!U25/'원자료(월별지수)'!T25-1,"")</f>
        <v>0.135492509833459</v>
      </c>
      <c r="S25" s="12" t="n">
        <f aca="false">IFERROR('원자료(월별지수)'!V25/'원자료(월별지수)'!U25-1,"")</f>
        <v>-0.0415683962264152</v>
      </c>
      <c r="T25" s="12" t="n">
        <f aca="false">IFERROR('원자료(월별지수)'!W25/'원자료(월별지수)'!V25-1,"")</f>
        <v>-0.02891418025223</v>
      </c>
      <c r="U25" s="12" t="n">
        <f aca="false">IFERROR('원자료(월별지수)'!X25/'원자료(월별지수)'!W25-1,"")</f>
        <v>0.0600253405131455</v>
      </c>
      <c r="V25" s="12" t="n">
        <f aca="false">IFERROR('원자료(월별지수)'!Y25/'원자료(월별지수)'!X25-1,"")</f>
        <v>-0.0122516061556851</v>
      </c>
      <c r="W25" s="12" t="n">
        <f aca="false">IFERROR('원자료(월별지수)'!Z25/'원자료(월별지수)'!Y25-1,"")</f>
        <v>-0.0740432612312811</v>
      </c>
      <c r="X25" s="12" t="n">
        <f aca="false">IFERROR('원자료(월별지수)'!AA25/'원자료(월별지수)'!Z25-1,"")</f>
        <v>-0.0282610471289717</v>
      </c>
      <c r="Y25" s="12" t="n">
        <f aca="false">IFERROR('원자료(월별지수)'!AB25/'원자료(월별지수)'!AA25-1,"")</f>
        <v>0.109607464066571</v>
      </c>
      <c r="Z25" s="12" t="n">
        <f aca="false">IFERROR('원자료(월별지수)'!AC25/'원자료(월별지수)'!AB25-1,"")</f>
        <v>0.147867585788956</v>
      </c>
      <c r="AA25" s="12" t="n">
        <f aca="false">IFERROR('원자료(월별지수)'!AD25/'원자료(월별지수)'!AC25-1,"")</f>
        <v>-0.171253217184716</v>
      </c>
      <c r="AB25" s="12" t="n">
        <f aca="false">IFERROR('원자료(월별지수)'!AE25/'원자료(월별지수)'!AD25-1,"")</f>
        <v>0.0390985825768435</v>
      </c>
      <c r="AC25" s="12" t="n">
        <f aca="false">IFERROR('원자료(월별지수)'!AF25/'원자료(월별지수)'!AE25-1,"")</f>
        <v>-0.0951797072572612</v>
      </c>
      <c r="AD25" s="12" t="n">
        <f aca="false">IFERROR('원자료(월별지수)'!AG25/'원자료(월별지수)'!AF25-1,"")</f>
        <v>0.0154992800880835</v>
      </c>
      <c r="AE25" s="12" t="n">
        <f aca="false">IFERROR('원자료(월별지수)'!AH25/'원자료(월별지수)'!AG25-1,"")</f>
        <v>-0.0561301084236865</v>
      </c>
      <c r="AF25" s="12" t="n">
        <f aca="false">IFERROR('원자료(월별지수)'!AI25/'원자료(월별지수)'!AH25-1,"")</f>
        <v>-0.0138729345232836</v>
      </c>
      <c r="AG25" s="12" t="n">
        <f aca="false">IFERROR('원자료(월별지수)'!AJ25/'원자료(월별지수)'!AI25-1,"")</f>
        <v>0.123655913978495</v>
      </c>
      <c r="AH25" s="12" t="n">
        <f aca="false">IFERROR('원자료(월별지수)'!AK25/'원자료(월별지수)'!AJ25-1,"")</f>
        <v>0.106858054226475</v>
      </c>
      <c r="AI25" s="12" t="n">
        <f aca="false">IFERROR('원자료(월별지수)'!AL25/'원자료(월별지수)'!AK25-1,"")</f>
        <v>-0.105763688760807</v>
      </c>
      <c r="AJ25" s="12" t="n">
        <f aca="false">IFERROR('원자료(월별지수)'!AM25/'원자료(월별지수)'!AL25-1,"")</f>
        <v>-0.015468901063487</v>
      </c>
      <c r="AK25" s="12" t="n">
        <f aca="false">IFERROR('원자료(월별지수)'!AN25/'원자료(월별지수)'!AM25-1,"")</f>
        <v>0.0121931260229131</v>
      </c>
      <c r="AL25" s="12" t="n">
        <f aca="false">IFERROR('원자료(월별지수)'!AO25/'원자료(월별지수)'!AN25-1,"")</f>
        <v>0.0879618400840811</v>
      </c>
      <c r="AM25" s="12" t="n">
        <f aca="false">IFERROR('원자료(월별지수)'!AP25/'원자료(월별지수)'!AO25-1,"")</f>
        <v>0.0401278145203241</v>
      </c>
      <c r="AN25" s="12" t="n">
        <f aca="false">IFERROR('원자료(월별지수)'!AQ25/'원자료(월별지수)'!AP25-1,"")</f>
        <v>-0.0529399156962206</v>
      </c>
      <c r="AO25" s="12" t="n">
        <f aca="false">IFERROR('원자료(월별지수)'!AR25/'원자료(월별지수)'!AQ25-1,"")</f>
        <v>-0.0892426071213035</v>
      </c>
      <c r="AP25" s="12" t="n">
        <f aca="false">IFERROR('원자료(월별지수)'!AS25/'원자료(월별지수)'!AR25-1,"")</f>
        <v>-0.033048952207405</v>
      </c>
      <c r="AQ25" s="12" t="n">
        <f aca="false">IFERROR('원자료(월별지수)'!AT25/'원자료(월별지수)'!AS25-1,"")</f>
        <v>-0.0427445605619324</v>
      </c>
      <c r="AR25" s="12" t="n">
        <f aca="false">IFERROR('원자료(월별지수)'!AU25/'원자료(월별지수)'!AT25-1,"")</f>
        <v>0.0083221476510067</v>
      </c>
      <c r="AS25" s="12" t="n">
        <f aca="false">IFERROR('원자료(월별지수)'!AV25/'원자료(월별지수)'!AU25-1,"")</f>
        <v>0.0503194888178913</v>
      </c>
      <c r="AT25" s="12" t="n">
        <f aca="false">IFERROR('원자료(월별지수)'!AW25/'원자료(월별지수)'!AV25-1,"")</f>
        <v>0.196451204055767</v>
      </c>
      <c r="AU25" s="12" t="n">
        <f aca="false">IFERROR('원자료(월별지수)'!AX25/'원자료(월별지수)'!AW25-1,"")</f>
        <v>-0.15204802259887</v>
      </c>
      <c r="AV25" s="12" t="n">
        <f aca="false">IFERROR('원자료(월별지수)'!AY25/'원자료(월별지수)'!AX25-1,"")</f>
        <v>0.113183976013992</v>
      </c>
      <c r="AW25" s="12" t="n">
        <f aca="false">IFERROR('원자료(월별지수)'!AZ25/'원자료(월별지수)'!AY25-1,"")</f>
        <v>0.019601975160856</v>
      </c>
      <c r="AX25" s="12" t="n">
        <f aca="false">IFERROR('원자료(월별지수)'!BA25/'원자료(월별지수)'!AZ25-1,"")</f>
        <v>0.144995597299677</v>
      </c>
      <c r="AY25" s="12" t="n">
        <f aca="false">IFERROR('원자료(월별지수)'!BB25/'원자료(월별지수)'!BA25-1,"")</f>
        <v>-0.140028197897975</v>
      </c>
      <c r="AZ25" s="12" t="n">
        <f aca="false">IFERROR('원자료(월별지수)'!BC25/'원자료(월별지수)'!BB25-1,"")</f>
        <v>0.00640882331023196</v>
      </c>
      <c r="BA25" s="12" t="n">
        <f aca="false">IFERROR('원자료(월별지수)'!BD25/'원자료(월별지수)'!BC25-1,"")</f>
        <v>-0.04938911514254</v>
      </c>
      <c r="BB25" s="12" t="n">
        <f aca="false">IFERROR('원자료(월별지수)'!BE25/'원자료(월별지수)'!BD25-1,"")</f>
        <v>-0.0139429817728618</v>
      </c>
      <c r="BC25" s="12" t="n">
        <f aca="false">IFERROR('원자료(월별지수)'!BF25/'원자료(월별지수)'!BE25-1,"")</f>
        <v>-0.0178529109724307</v>
      </c>
      <c r="BD25" s="12" t="n">
        <f aca="false">IFERROR('원자료(월별지수)'!BG25/'원자료(월별지수)'!BF25-1,"")</f>
        <v>-0.0591972975146787</v>
      </c>
      <c r="BE25" s="12" t="n">
        <f aca="false">IFERROR('원자료(월별지수)'!BH25/'원자료(월별지수)'!BG25-1,"")</f>
        <v>0.108916816277678</v>
      </c>
      <c r="BF25" s="12" t="n">
        <f aca="false">IFERROR('원자료(월별지수)'!BI25/'원자료(월별지수)'!BH25-1,"")</f>
        <v>0.0461028448076477</v>
      </c>
      <c r="BG25" s="12" t="n">
        <f aca="false">IFERROR('원자료(월별지수)'!BJ25/'원자료(월별지수)'!BI25-1,"")</f>
        <v>-0.025278207679269</v>
      </c>
      <c r="BH25" s="12" t="n">
        <f aca="false">IFERROR('원자료(월별지수)'!BK25/'원자료(월별지수)'!BJ25-1,"")</f>
        <v>-0.111144714955391</v>
      </c>
      <c r="BI25" s="12" t="n">
        <f aca="false">IFERROR('원자료(월별지수)'!BL25/'원자료(월별지수)'!BK25-1,"")</f>
        <v>0.164681864579789</v>
      </c>
      <c r="BJ25" s="12" t="n">
        <f aca="false">IFERROR('원자료(월별지수)'!BM25/'원자료(월별지수)'!BL25-1,"")</f>
        <v>-0.00847210049664038</v>
      </c>
      <c r="BK25" s="12" t="n">
        <f aca="false">IFERROR('원자료(월별지수)'!BN25/'원자료(월별지수)'!BM25-1,"")</f>
        <v>0.155863288155569</v>
      </c>
      <c r="BL25" s="12" t="n">
        <f aca="false">IFERROR('원자료(월별지수)'!BO25/'원자료(월별지수)'!BN25-1,"")</f>
        <v>-0.235151669640581</v>
      </c>
      <c r="BM25" s="12" t="n">
        <f aca="false">IFERROR('원자료(월별지수)'!BP25/'원자료(월별지수)'!BO25-1,"")</f>
        <v>-0.0689885019163473</v>
      </c>
      <c r="BN25" s="12" t="n">
        <f aca="false">IFERROR('원자료(월별지수)'!BQ25/'원자료(월별지수)'!BP25-1,"")</f>
        <v>0.101933058886701</v>
      </c>
    </row>
    <row r="26" customFormat="false" ht="15" hidden="false" customHeight="false" outlineLevel="0" collapsed="false">
      <c r="A26" s="8" t="s">
        <v>103</v>
      </c>
      <c r="B26" s="9" t="s">
        <v>114</v>
      </c>
      <c r="C26" s="12" t="n">
        <f aca="false">IFERROR('원자료(월별지수)'!F26/'원자료(월별지수)'!E26-1,"")</f>
        <v>0.589900479174346</v>
      </c>
      <c r="D26" s="12" t="n">
        <f aca="false">IFERROR('원자료(월별지수)'!G26/'원자료(월별지수)'!F26-1,"")</f>
        <v>-0.266379190429823</v>
      </c>
      <c r="E26" s="12" t="n">
        <f aca="false">IFERROR('원자료(월별지수)'!H26/'원자료(월별지수)'!G26-1,"")</f>
        <v>-0.474276324105676</v>
      </c>
      <c r="F26" s="12" t="n">
        <f aca="false">IFERROR('원자료(월별지수)'!I26/'원자료(월별지수)'!H26-1,"")</f>
        <v>-0.270497715797067</v>
      </c>
      <c r="G26" s="12" t="n">
        <f aca="false">IFERROR('원자료(월별지수)'!J26/'원자료(월별지수)'!I26-1,"")</f>
        <v>0.649637442320369</v>
      </c>
      <c r="H26" s="12" t="n">
        <f aca="false">IFERROR('원자료(월별지수)'!K26/'원자료(월별지수)'!J26-1,"")</f>
        <v>-0.544155844155844</v>
      </c>
      <c r="I26" s="12" t="n">
        <f aca="false">IFERROR('원자료(월별지수)'!L26/'원자료(월별지수)'!K26-1,"")</f>
        <v>-0.12798597413982</v>
      </c>
      <c r="J26" s="12" t="n">
        <f aca="false">IFERROR('원자료(월별지수)'!M26/'원자료(월별지수)'!L26-1,"")</f>
        <v>1.36164865544107</v>
      </c>
      <c r="K26" s="12" t="n">
        <f aca="false">IFERROR('원자료(월별지수)'!N26/'원자료(월별지수)'!M26-1,"")</f>
        <v>-0.340747046929871</v>
      </c>
      <c r="L26" s="12" t="n">
        <f aca="false">IFERROR('원자료(월별지수)'!O26/'원자료(월별지수)'!N26-1,"")</f>
        <v>0.865536723163842</v>
      </c>
      <c r="M26" s="12" t="n">
        <f aca="false">IFERROR('원자료(월별지수)'!P26/'원자료(월별지수)'!O26-1,"")</f>
        <v>-0.00207666349398628</v>
      </c>
      <c r="N26" s="12" t="n">
        <f aca="false">IFERROR('원자료(월별지수)'!Q26/'원자료(월별지수)'!P26-1,"")</f>
        <v>0.921529523974682</v>
      </c>
      <c r="O26" s="12" t="n">
        <f aca="false">IFERROR('원자료(월별지수)'!R26/'원자료(월별지수)'!Q26-1,"")</f>
        <v>-0.318171562655115</v>
      </c>
      <c r="P26" s="12" t="n">
        <f aca="false">IFERROR('원자료(월별지수)'!S26/'원자료(월별지수)'!R26-1,"")</f>
        <v>-0.235208471211118</v>
      </c>
      <c r="Q26" s="12" t="n">
        <f aca="false">IFERROR('원자료(월별지수)'!T26/'원자료(월별지수)'!S26-1,"")</f>
        <v>0.0517480096919349</v>
      </c>
      <c r="R26" s="12" t="n">
        <f aca="false">IFERROR('원자료(월별지수)'!U26/'원자료(월별지수)'!T26-1,"")</f>
        <v>-0.178459766332072</v>
      </c>
      <c r="S26" s="12" t="n">
        <f aca="false">IFERROR('원자료(월별지수)'!V26/'원자료(월별지수)'!U26-1,"")</f>
        <v>-0.197295943915874</v>
      </c>
      <c r="T26" s="12" t="n">
        <f aca="false">IFERROR('원자료(월별지수)'!W26/'원자료(월별지수)'!V26-1,"")</f>
        <v>0.0646288209606987</v>
      </c>
      <c r="U26" s="12" t="n">
        <f aca="false">IFERROR('원자료(월별지수)'!X26/'원자료(월별지수)'!W26-1,"")</f>
        <v>0.0694949021446152</v>
      </c>
      <c r="V26" s="12" t="n">
        <f aca="false">IFERROR('원자료(월별지수)'!Y26/'원자료(월별지수)'!X26-1,"")</f>
        <v>0.695704580319965</v>
      </c>
      <c r="W26" s="12" t="n">
        <f aca="false">IFERROR('원자료(월별지수)'!Z26/'원자료(월별지수)'!Y26-1,"")</f>
        <v>-0.588239095315024</v>
      </c>
      <c r="X26" s="12" t="n">
        <f aca="false">IFERROR('원자료(월별지수)'!AA26/'원자료(월별지수)'!Z26-1,"")</f>
        <v>0.105775266792216</v>
      </c>
      <c r="Y26" s="12" t="n">
        <f aca="false">IFERROR('원자료(월별지수)'!AB26/'원자료(월별지수)'!AA26-1,"")</f>
        <v>0.509367016747091</v>
      </c>
      <c r="Z26" s="12" t="n">
        <f aca="false">IFERROR('원자료(월별지수)'!AC26/'원자료(월별지수)'!AB26-1,"")</f>
        <v>1.01081335213916</v>
      </c>
      <c r="AA26" s="12" t="n">
        <f aca="false">IFERROR('원자료(월별지수)'!AD26/'원자료(월별지수)'!AC26-1,"")</f>
        <v>-0.0404489127893384</v>
      </c>
      <c r="AB26" s="12" t="n">
        <f aca="false">IFERROR('원자료(월별지수)'!AE26/'원자료(월별지수)'!AD26-1,"")</f>
        <v>-0.379093567251462</v>
      </c>
      <c r="AC26" s="12" t="n">
        <f aca="false">IFERROR('원자료(월별지수)'!AF26/'원자료(월별지수)'!AE26-1,"")</f>
        <v>-0.20414410171886</v>
      </c>
      <c r="AD26" s="12" t="n">
        <f aca="false">IFERROR('원자료(월별지수)'!AG26/'원자료(월별지수)'!AF26-1,"")</f>
        <v>0.0844181459566074</v>
      </c>
      <c r="AE26" s="12" t="n">
        <f aca="false">IFERROR('원자료(월별지수)'!AH26/'원자료(월별지수)'!AG26-1,"")</f>
        <v>-0.00527464532557287</v>
      </c>
      <c r="AF26" s="12" t="n">
        <f aca="false">IFERROR('원자료(월별지수)'!AI26/'원자료(월별지수)'!AH26-1,"")</f>
        <v>-0.536112634850978</v>
      </c>
      <c r="AG26" s="12" t="n">
        <f aca="false">IFERROR('원자료(월별지수)'!AJ26/'원자료(월별지수)'!AI26-1,"")</f>
        <v>0.841545132045723</v>
      </c>
      <c r="AH26" s="12" t="n">
        <f aca="false">IFERROR('원자료(월별지수)'!AK26/'원자료(월별지수)'!AJ26-1,"")</f>
        <v>0.263591609589041</v>
      </c>
      <c r="AI26" s="12" t="n">
        <f aca="false">IFERROR('원자료(월별지수)'!AL26/'원자료(월별지수)'!AK26-1,"")</f>
        <v>-0.0648767680189718</v>
      </c>
      <c r="AJ26" s="12" t="n">
        <f aca="false">IFERROR('원자료(월별지수)'!AM26/'원자료(월별지수)'!AL26-1,"")</f>
        <v>-0.150348700298886</v>
      </c>
      <c r="AK26" s="12" t="n">
        <f aca="false">IFERROR('원자료(월별지수)'!AN26/'원자료(월별지수)'!AM26-1,"")</f>
        <v>0.345698752798209</v>
      </c>
      <c r="AL26" s="12" t="n">
        <f aca="false">IFERROR('원자료(월별지수)'!AO26/'원자료(월별지수)'!AN26-1,"")</f>
        <v>1.05893536121673</v>
      </c>
      <c r="AM26" s="12" t="n">
        <f aca="false">IFERROR('원자료(월별지수)'!AP26/'원자료(월별지수)'!AO26-1,"")</f>
        <v>0.0372807017543859</v>
      </c>
      <c r="AN26" s="12" t="n">
        <f aca="false">IFERROR('원자료(월별지수)'!AQ26/'원자료(월별지수)'!AP26-1,"")</f>
        <v>-0.28567189644301</v>
      </c>
      <c r="AO26" s="12" t="n">
        <f aca="false">IFERROR('원자료(월별지수)'!AR26/'원자료(월별지수)'!AQ26-1,"")</f>
        <v>-0.417674853315333</v>
      </c>
      <c r="AP26" s="12" t="n">
        <f aca="false">IFERROR('원자료(월별지수)'!AS26/'원자료(월별지수)'!AR26-1,"")</f>
        <v>-0.490057958091841</v>
      </c>
      <c r="AQ26" s="12" t="n">
        <f aca="false">IFERROR('원자료(월별지수)'!AT26/'원자료(월별지수)'!AS26-1,"")</f>
        <v>0.168735792970799</v>
      </c>
      <c r="AR26" s="12" t="n">
        <f aca="false">IFERROR('원자료(월별지수)'!AU26/'원자료(월별지수)'!AT26-1,"")</f>
        <v>-0.268551765409934</v>
      </c>
      <c r="AS26" s="12" t="n">
        <f aca="false">IFERROR('원자료(월별지수)'!AV26/'원자료(월별지수)'!AU26-1,"")</f>
        <v>0.35896911433831</v>
      </c>
      <c r="AT26" s="12" t="n">
        <f aca="false">IFERROR('원자료(월별지수)'!AW26/'원자료(월별지수)'!AV26-1,"")</f>
        <v>0.550872968091511</v>
      </c>
      <c r="AU26" s="12" t="n">
        <f aca="false">IFERROR('원자료(월별지수)'!AX26/'원자료(월별지수)'!AW26-1,"")</f>
        <v>0.434976708074534</v>
      </c>
      <c r="AV26" s="12" t="n">
        <f aca="false">IFERROR('원자료(월별지수)'!AY26/'원자료(월별지수)'!AX26-1,"")</f>
        <v>-0.185039902610578</v>
      </c>
      <c r="AW26" s="12" t="n">
        <f aca="false">IFERROR('원자료(월별지수)'!AZ26/'원자료(월별지수)'!AY26-1,"")</f>
        <v>-0.259502074688797</v>
      </c>
      <c r="AX26" s="12" t="n">
        <f aca="false">IFERROR('원자료(월별지수)'!BA26/'원자료(월별지수)'!AZ26-1,"")</f>
        <v>0.490754230639919</v>
      </c>
      <c r="AY26" s="12" t="n">
        <f aca="false">IFERROR('원자료(월별지수)'!BB26/'원자료(월별지수)'!BA26-1,"")</f>
        <v>0.346489249736882</v>
      </c>
      <c r="AZ26" s="12" t="n">
        <f aca="false">IFERROR('원자료(월별지수)'!BC26/'원자료(월별지수)'!BB26-1,"")</f>
        <v>-0.0701245044944447</v>
      </c>
      <c r="BA26" s="12" t="n">
        <f aca="false">IFERROR('원자료(월별지수)'!BD26/'원자료(월별지수)'!BC26-1,"")</f>
        <v>-0.360552386670669</v>
      </c>
      <c r="BB26" s="12" t="n">
        <f aca="false">IFERROR('원자료(월별지수)'!BE26/'원자료(월별지수)'!BD26-1,"")</f>
        <v>-0.104037558685446</v>
      </c>
      <c r="BC26" s="12" t="n">
        <f aca="false">IFERROR('원자료(월별지수)'!BF26/'원자료(월별지수)'!BE26-1,"")</f>
        <v>0.13665898134563</v>
      </c>
      <c r="BD26" s="12" t="n">
        <f aca="false">IFERROR('원자료(월별지수)'!BG26/'원자료(월별지수)'!BF26-1,"")</f>
        <v>-0.450304259634888</v>
      </c>
      <c r="BE26" s="12" t="n">
        <f aca="false">IFERROR('원자료(월별지수)'!BH26/'원자료(월별지수)'!BG26-1,"")</f>
        <v>-0.108688359610869</v>
      </c>
      <c r="BF26" s="12" t="n">
        <f aca="false">IFERROR('원자료(월별지수)'!BI26/'원자료(월별지수)'!BH26-1,"")</f>
        <v>0.617425668046669</v>
      </c>
      <c r="BG26" s="12" t="n">
        <f aca="false">IFERROR('원자료(월별지수)'!BJ26/'원자료(월별지수)'!BI26-1,"")</f>
        <v>0.0231529959278649</v>
      </c>
      <c r="BH26" s="12" t="n">
        <f aca="false">IFERROR('원자료(월별지수)'!BK26/'원자료(월별지수)'!BJ26-1,"")</f>
        <v>0.0582215146690925</v>
      </c>
      <c r="BI26" s="12" t="n">
        <f aca="false">IFERROR('원자료(월별지수)'!BL26/'원자료(월별지수)'!BK26-1,"")</f>
        <v>-0.301096067053514</v>
      </c>
      <c r="BJ26" s="12" t="n">
        <f aca="false">IFERROR('원자료(월별지수)'!BM26/'원자료(월별지수)'!BL26-1,"")</f>
        <v>0.984471094710947</v>
      </c>
      <c r="BK26" s="12" t="n">
        <f aca="false">IFERROR('원자료(월별지수)'!BN26/'원자료(월별지수)'!BM26-1,"")</f>
        <v>0.369102037653986</v>
      </c>
      <c r="BL26" s="12" t="n">
        <f aca="false">IFERROR('원자료(월별지수)'!BO26/'원자료(월별지수)'!BN26-1,"")</f>
        <v>-0.13298624865599</v>
      </c>
      <c r="BM26" s="12" t="n">
        <f aca="false">IFERROR('원자료(월별지수)'!BP26/'원자료(월별지수)'!BO26-1,"")</f>
        <v>-0.106455192219829</v>
      </c>
      <c r="BN26" s="12" t="n">
        <f aca="false">IFERROR('원자료(월별지수)'!BQ26/'원자료(월별지수)'!BP26-1,"")</f>
        <v>-0.21263696128561</v>
      </c>
    </row>
    <row r="27" customFormat="false" ht="15" hidden="false" customHeight="false" outlineLevel="0" collapsed="false">
      <c r="A27" s="8" t="s">
        <v>103</v>
      </c>
      <c r="B27" s="9" t="s">
        <v>115</v>
      </c>
      <c r="C27" s="12" t="str">
        <f aca="false">IFERROR('원자료(월별지수)'!F27/'원자료(월별지수)'!E27-1,"")</f>
        <v/>
      </c>
      <c r="D27" s="12" t="str">
        <f aca="false">IFERROR('원자료(월별지수)'!G27/'원자료(월별지수)'!F27-1,"")</f>
        <v/>
      </c>
      <c r="E27" s="12" t="str">
        <f aca="false">IFERROR('원자료(월별지수)'!H27/'원자료(월별지수)'!G27-1,"")</f>
        <v/>
      </c>
      <c r="F27" s="12" t="str">
        <f aca="false">IFERROR('원자료(월별지수)'!I27/'원자료(월별지수)'!H27-1,"")</f>
        <v/>
      </c>
      <c r="G27" s="12" t="str">
        <f aca="false">IFERROR('원자료(월별지수)'!J27/'원자료(월별지수)'!I27-1,"")</f>
        <v/>
      </c>
      <c r="H27" s="12" t="str">
        <f aca="false">IFERROR('원자료(월별지수)'!K27/'원자료(월별지수)'!J27-1,"")</f>
        <v/>
      </c>
      <c r="I27" s="12" t="str">
        <f aca="false">IFERROR('원자료(월별지수)'!L27/'원자료(월별지수)'!K27-1,"")</f>
        <v/>
      </c>
      <c r="J27" s="12" t="str">
        <f aca="false">IFERROR('원자료(월별지수)'!M27/'원자료(월별지수)'!L27-1,"")</f>
        <v/>
      </c>
      <c r="K27" s="12" t="str">
        <f aca="false">IFERROR('원자료(월별지수)'!N27/'원자료(월별지수)'!M27-1,"")</f>
        <v/>
      </c>
      <c r="L27" s="12" t="str">
        <f aca="false">IFERROR('원자료(월별지수)'!O27/'원자료(월별지수)'!N27-1,"")</f>
        <v/>
      </c>
      <c r="M27" s="12" t="str">
        <f aca="false">IFERROR('원자료(월별지수)'!P27/'원자료(월별지수)'!O27-1,"")</f>
        <v/>
      </c>
      <c r="N27" s="12" t="str">
        <f aca="false">IFERROR('원자료(월별지수)'!Q27/'원자료(월별지수)'!P27-1,"")</f>
        <v/>
      </c>
      <c r="O27" s="12" t="str">
        <f aca="false">IFERROR('원자료(월별지수)'!R27/'원자료(월별지수)'!Q27-1,"")</f>
        <v/>
      </c>
      <c r="P27" s="12" t="str">
        <f aca="false">IFERROR('원자료(월별지수)'!S27/'원자료(월별지수)'!R27-1,"")</f>
        <v/>
      </c>
      <c r="Q27" s="12" t="str">
        <f aca="false">IFERROR('원자료(월별지수)'!T27/'원자료(월별지수)'!S27-1,"")</f>
        <v/>
      </c>
      <c r="R27" s="12" t="str">
        <f aca="false">IFERROR('원자료(월별지수)'!U27/'원자료(월별지수)'!T27-1,"")</f>
        <v/>
      </c>
      <c r="S27" s="12" t="str">
        <f aca="false">IFERROR('원자료(월별지수)'!V27/'원자료(월별지수)'!U27-1,"")</f>
        <v/>
      </c>
      <c r="T27" s="12" t="str">
        <f aca="false">IFERROR('원자료(월별지수)'!W27/'원자료(월별지수)'!V27-1,"")</f>
        <v/>
      </c>
      <c r="U27" s="12" t="str">
        <f aca="false">IFERROR('원자료(월별지수)'!X27/'원자료(월별지수)'!W27-1,"")</f>
        <v/>
      </c>
      <c r="V27" s="12" t="str">
        <f aca="false">IFERROR('원자료(월별지수)'!Y27/'원자료(월별지수)'!X27-1,"")</f>
        <v/>
      </c>
      <c r="W27" s="12" t="str">
        <f aca="false">IFERROR('원자료(월별지수)'!Z27/'원자료(월별지수)'!Y27-1,"")</f>
        <v/>
      </c>
      <c r="X27" s="12" t="str">
        <f aca="false">IFERROR('원자료(월별지수)'!AA27/'원자료(월별지수)'!Z27-1,"")</f>
        <v/>
      </c>
      <c r="Y27" s="12" t="str">
        <f aca="false">IFERROR('원자료(월별지수)'!AB27/'원자료(월별지수)'!AA27-1,"")</f>
        <v/>
      </c>
      <c r="Z27" s="12" t="n">
        <f aca="false">IFERROR('원자료(월별지수)'!AC27/'원자료(월별지수)'!AB27-1,"")</f>
        <v>0.0293999999999999</v>
      </c>
      <c r="AA27" s="12" t="n">
        <f aca="false">IFERROR('원자료(월별지수)'!AD27/'원자료(월별지수)'!AC27-1,"")</f>
        <v>0.0775208859529823</v>
      </c>
      <c r="AB27" s="12" t="n">
        <f aca="false">IFERROR('원자료(월별지수)'!AE27/'원자료(월별지수)'!AD27-1,"")</f>
        <v>-0.00279480706815727</v>
      </c>
      <c r="AC27" s="12" t="n">
        <f aca="false">IFERROR('원자료(월별지수)'!AF27/'원자료(월별지수)'!AE27-1,"")</f>
        <v>0.107042762860501</v>
      </c>
      <c r="AD27" s="12" t="n">
        <f aca="false">IFERROR('원자료(월별지수)'!AG27/'원자료(월별지수)'!AF27-1,"")</f>
        <v>0.339893834218048</v>
      </c>
      <c r="AE27" s="12" t="n">
        <f aca="false">IFERROR('원자료(월별지수)'!AH27/'원자료(월별지수)'!AG27-1,"")</f>
        <v>-0.0973365027122569</v>
      </c>
      <c r="AF27" s="12" t="n">
        <f aca="false">IFERROR('원자료(월별지수)'!AI27/'원자료(월별지수)'!AH27-1,"")</f>
        <v>-0.243281566509115</v>
      </c>
      <c r="AG27" s="12" t="n">
        <f aca="false">IFERROR('원자료(월별지수)'!AJ27/'원자료(월별지수)'!AI27-1,"")</f>
        <v>0.701436602123673</v>
      </c>
      <c r="AH27" s="12" t="n">
        <f aca="false">IFERROR('원자료(월별지수)'!AK27/'원자료(월별지수)'!AJ27-1,"")</f>
        <v>0.0309418921753724</v>
      </c>
      <c r="AI27" s="12" t="n">
        <f aca="false">IFERROR('원자료(월별지수)'!AL27/'원자료(월별지수)'!AK27-1,"")</f>
        <v>-0.0159222708312139</v>
      </c>
      <c r="AJ27" s="12" t="n">
        <f aca="false">IFERROR('원자료(월별지수)'!AM27/'원자료(월별지수)'!AL27-1,"")</f>
        <v>-0.38247609201344</v>
      </c>
      <c r="AK27" s="12" t="n">
        <f aca="false">IFERROR('원자료(월별지수)'!AN27/'원자료(월별지수)'!AM27-1,"")</f>
        <v>-0.0769295161560355</v>
      </c>
      <c r="AL27" s="12" t="n">
        <f aca="false">IFERROR('원자료(월별지수)'!AO27/'원자료(월별지수)'!AN27-1,"")</f>
        <v>-0.100117892445815</v>
      </c>
      <c r="AM27" s="12" t="n">
        <f aca="false">IFERROR('원자료(월별지수)'!AP27/'원자료(월별지수)'!AO27-1,"")</f>
        <v>0.130605663609795</v>
      </c>
      <c r="AN27" s="12" t="n">
        <f aca="false">IFERROR('원자료(월별지수)'!AQ27/'원자료(월별지수)'!AP27-1,"")</f>
        <v>0.494518228006061</v>
      </c>
      <c r="AO27" s="12" t="n">
        <f aca="false">IFERROR('원자료(월별지수)'!AR27/'원자료(월별지수)'!AQ27-1,"")</f>
        <v>0.668157690701974</v>
      </c>
      <c r="AP27" s="12" t="n">
        <f aca="false">IFERROR('원자료(월별지수)'!AS27/'원자료(월별지수)'!AR27-1,"")</f>
        <v>-0.00697175545227025</v>
      </c>
      <c r="AQ27" s="12" t="n">
        <f aca="false">IFERROR('원자료(월별지수)'!AT27/'원자료(월별지수)'!AS27-1,"")</f>
        <v>-0.541854185418542</v>
      </c>
      <c r="AR27" s="12" t="n">
        <f aca="false">IFERROR('원자료(월별지수)'!AU27/'원자료(월별지수)'!AT27-1,"")</f>
        <v>-0.252337917485265</v>
      </c>
      <c r="AS27" s="12" t="n">
        <f aca="false">IFERROR('원자료(월별지수)'!AV27/'원자료(월별지수)'!AU27-1,"")</f>
        <v>0.559806600798823</v>
      </c>
      <c r="AT27" s="12" t="n">
        <f aca="false">IFERROR('원자료(월별지수)'!AW27/'원자료(월별지수)'!AV27-1,"")</f>
        <v>-0.0413746630727764</v>
      </c>
      <c r="AU27" s="12" t="n">
        <f aca="false">IFERROR('원자료(월별지수)'!AX27/'원자료(월별지수)'!AW27-1,"")</f>
        <v>0.365035849852383</v>
      </c>
      <c r="AV27" s="12" t="n">
        <f aca="false">IFERROR('원자료(월별지수)'!AY27/'원자료(월별지수)'!AX27-1,"")</f>
        <v>0.0742571708120914</v>
      </c>
      <c r="AW27" s="12" t="n">
        <f aca="false">IFERROR('원자료(월별지수)'!AZ27/'원자료(월별지수)'!AY27-1,"")</f>
        <v>-0.12760653851685</v>
      </c>
      <c r="AX27" s="12" t="n">
        <f aca="false">IFERROR('원자료(월별지수)'!BA27/'원자료(월별지수)'!AZ27-1,"")</f>
        <v>0.341282488048794</v>
      </c>
      <c r="AY27" s="12" t="n">
        <f aca="false">IFERROR('원자료(월별지수)'!BB27/'원자료(월별지수)'!BA27-1,"")</f>
        <v>0.207742728390004</v>
      </c>
      <c r="AZ27" s="12" t="n">
        <f aca="false">IFERROR('원자료(월별지수)'!BC27/'원자료(월별지수)'!BB27-1,"")</f>
        <v>-0.119229334147417</v>
      </c>
      <c r="BA27" s="12" t="n">
        <f aca="false">IFERROR('원자료(월별지수)'!BD27/'원자료(월별지수)'!BC27-1,"")</f>
        <v>-0.217399676500039</v>
      </c>
      <c r="BB27" s="12" t="n">
        <f aca="false">IFERROR('원자료(월별지수)'!BE27/'원자료(월별지수)'!BD27-1,"")</f>
        <v>-0.2376851532897</v>
      </c>
      <c r="BC27" s="12" t="n">
        <f aca="false">IFERROR('원자료(월별지수)'!BF27/'원자료(월별지수)'!BE27-1,"")</f>
        <v>-0.403460073591117</v>
      </c>
      <c r="BD27" s="12" t="n">
        <f aca="false">IFERROR('원자료(월별지수)'!BG27/'원자료(월별지수)'!BF27-1,"")</f>
        <v>0.309490314900985</v>
      </c>
      <c r="BE27" s="12" t="n">
        <f aca="false">IFERROR('원자료(월별지수)'!BH27/'원자료(월별지수)'!BG27-1,"")</f>
        <v>0.0658623254276505</v>
      </c>
      <c r="BF27" s="12" t="n">
        <f aca="false">IFERROR('원자료(월별지수)'!BI27/'원자료(월별지수)'!BH27-1,"")</f>
        <v>0.0497751589393707</v>
      </c>
      <c r="BG27" s="12" t="n">
        <f aca="false">IFERROR('원자료(월별지수)'!BJ27/'원자료(월별지수)'!BI27-1,"")</f>
        <v>-0.193131462333826</v>
      </c>
      <c r="BH27" s="12" t="n">
        <f aca="false">IFERROR('원자료(월별지수)'!BK27/'원자료(월별지수)'!BJ27-1,"")</f>
        <v>0.138581235697941</v>
      </c>
      <c r="BI27" s="12" t="n">
        <f aca="false">IFERROR('원자료(월별지수)'!BL27/'원자료(월별지수)'!BK27-1,"")</f>
        <v>0.107243347535976</v>
      </c>
      <c r="BJ27" s="12" t="n">
        <f aca="false">IFERROR('원자료(월별지수)'!BM27/'원자료(월별지수)'!BL27-1,"")</f>
        <v>-0.0193857547375299</v>
      </c>
      <c r="BK27" s="12" t="n">
        <f aca="false">IFERROR('원자료(월별지수)'!BN27/'원자료(월별지수)'!BM27-1,"")</f>
        <v>0.0751517843921221</v>
      </c>
      <c r="BL27" s="12" t="n">
        <f aca="false">IFERROR('원자료(월별지수)'!BO27/'원자료(월별지수)'!BN27-1,"")</f>
        <v>-0.283382687142759</v>
      </c>
      <c r="BM27" s="12" t="n">
        <f aca="false">IFERROR('원자료(월별지수)'!BP27/'원자료(월별지수)'!BO27-1,"")</f>
        <v>-0.335863924658851</v>
      </c>
      <c r="BN27" s="12" t="n">
        <f aca="false">IFERROR('원자료(월별지수)'!BQ27/'원자료(월별지수)'!BP27-1,"")</f>
        <v>0.0261901316741426</v>
      </c>
    </row>
    <row r="28" customFormat="false" ht="15" hidden="false" customHeight="false" outlineLevel="0" collapsed="false">
      <c r="A28" s="8" t="s">
        <v>117</v>
      </c>
      <c r="B28" s="9" t="s">
        <v>118</v>
      </c>
      <c r="C28" s="12" t="n">
        <f aca="false">IFERROR('원자료(월별지수)'!F28/'원자료(월별지수)'!E28-1,"")</f>
        <v>0.0734229576008272</v>
      </c>
      <c r="D28" s="12" t="n">
        <f aca="false">IFERROR('원자료(월별지수)'!G28/'원자료(월별지수)'!F28-1,"")</f>
        <v>-0.0335581245985871</v>
      </c>
      <c r="E28" s="12" t="n">
        <f aca="false">IFERROR('원자료(월별지수)'!H28/'원자료(월별지수)'!G28-1,"")</f>
        <v>0.0375477654095366</v>
      </c>
      <c r="F28" s="12" t="n">
        <f aca="false">IFERROR('원자료(월별지수)'!I28/'원자료(월별지수)'!H28-1,"")</f>
        <v>0.0174539631705364</v>
      </c>
      <c r="G28" s="12" t="n">
        <f aca="false">IFERROR('원자료(월별지수)'!J28/'원자료(월별지수)'!I28-1,"")</f>
        <v>-0.0132987094743469</v>
      </c>
      <c r="H28" s="12" t="n">
        <f aca="false">IFERROR('원자료(월별지수)'!K28/'원자료(월별지수)'!J28-1,"")</f>
        <v>-0.0980141957093867</v>
      </c>
      <c r="I28" s="12" t="n">
        <f aca="false">IFERROR('원자료(월별지수)'!L28/'원자료(월별지수)'!K28-1,"")</f>
        <v>-0.237665782493369</v>
      </c>
      <c r="J28" s="12" t="n">
        <f aca="false">IFERROR('원자료(월별지수)'!M28/'원자료(월별지수)'!L28-1,"")</f>
        <v>0</v>
      </c>
      <c r="K28" s="12" t="n">
        <f aca="false">IFERROR('원자료(월별지수)'!N28/'원자료(월별지수)'!M28-1,"")</f>
        <v>-0.12178148921364</v>
      </c>
      <c r="L28" s="12" t="n">
        <f aca="false">IFERROR('원자료(월별지수)'!O28/'원자료(월별지수)'!N28-1,"")</f>
        <v>-0.122556788166931</v>
      </c>
      <c r="M28" s="12" t="n">
        <f aca="false">IFERROR('원자료(월별지수)'!P28/'원자료(월별지수)'!O28-1,"")</f>
        <v>0.263546056592414</v>
      </c>
      <c r="N28" s="12" t="n">
        <f aca="false">IFERROR('원자료(월별지수)'!Q28/'원자료(월별지수)'!P28-1,"")</f>
        <v>0.2526503871352</v>
      </c>
      <c r="O28" s="12" t="n">
        <f aca="false">IFERROR('원자료(월별지수)'!R28/'원자료(월별지수)'!Q28-1,"")</f>
        <v>-0.161753518448079</v>
      </c>
      <c r="P28" s="12" t="n">
        <f aca="false">IFERROR('원자료(월별지수)'!S28/'원자료(월별지수)'!R28-1,"")</f>
        <v>-0.184458309699376</v>
      </c>
      <c r="Q28" s="12" t="n">
        <f aca="false">IFERROR('원자료(월별지수)'!T28/'원자료(월별지수)'!S28-1,"")</f>
        <v>0.098901098901099</v>
      </c>
      <c r="R28" s="12" t="n">
        <f aca="false">IFERROR('원자료(월별지수)'!U28/'원자료(월별지수)'!T28-1,"")</f>
        <v>-0.0773417721518988</v>
      </c>
      <c r="S28" s="12" t="n">
        <f aca="false">IFERROR('원자료(월별지수)'!V28/'원자료(월별지수)'!U28-1,"")</f>
        <v>0.267526409658389</v>
      </c>
      <c r="T28" s="12" t="n">
        <f aca="false">IFERROR('원자료(월별지수)'!W28/'원자료(월별지수)'!V28-1,"")</f>
        <v>0.151206840567161</v>
      </c>
      <c r="U28" s="12" t="n">
        <f aca="false">IFERROR('원자료(월별지수)'!X28/'원자료(월별지수)'!W28-1,"")</f>
        <v>0.00507709665287703</v>
      </c>
      <c r="V28" s="12" t="n">
        <f aca="false">IFERROR('원자료(월별지수)'!Y28/'원자료(월별지수)'!X28-1,"")</f>
        <v>0</v>
      </c>
      <c r="W28" s="12" t="n">
        <f aca="false">IFERROR('원자료(월별지수)'!Z28/'원자료(월별지수)'!Y28-1,"")</f>
        <v>-0.295416276894294</v>
      </c>
      <c r="X28" s="12" t="n">
        <f aca="false">IFERROR('원자료(월별지수)'!AA28/'원자료(월별지수)'!Z28-1,"")</f>
        <v>-0.075013276686139</v>
      </c>
      <c r="Y28" s="12" t="n">
        <f aca="false">IFERROR('원자료(월별지수)'!AB28/'원자료(월별지수)'!AA28-1,"")</f>
        <v>0.0335869097172385</v>
      </c>
      <c r="Z28" s="12" t="n">
        <f aca="false">IFERROR('원자료(월별지수)'!AC28/'원자료(월별지수)'!AB28-1,"")</f>
        <v>0.108734897930843</v>
      </c>
      <c r="AA28" s="12" t="n">
        <f aca="false">IFERROR('원자료(월별지수)'!AD28/'원자료(월별지수)'!AC28-1,"")</f>
        <v>-0.0310621242484971</v>
      </c>
      <c r="AB28" s="12" t="n">
        <f aca="false">IFERROR('원자료(월별지수)'!AE28/'원자료(월별지수)'!AD28-1,"")</f>
        <v>-0.032445708376422</v>
      </c>
      <c r="AC28" s="12" t="n">
        <f aca="false">IFERROR('원자료(월별지수)'!AF28/'원자료(월별지수)'!AE28-1,"")</f>
        <v>0.0993987975951907</v>
      </c>
      <c r="AD28" s="12" t="n">
        <f aca="false">IFERROR('원자료(월별지수)'!AG28/'원자료(월별지수)'!AF28-1,"")</f>
        <v>0.145582695345728</v>
      </c>
      <c r="AE28" s="12" t="n">
        <f aca="false">IFERROR('원자료(월별지수)'!AH28/'원자료(월별지수)'!AG28-1,"")</f>
        <v>0.221915773841095</v>
      </c>
      <c r="AF28" s="12" t="n">
        <f aca="false">IFERROR('원자료(월별지수)'!AI28/'원자료(월별지수)'!AH28-1,"")</f>
        <v>0.206875596840004</v>
      </c>
      <c r="AG28" s="12" t="n">
        <f aca="false">IFERROR('원자료(월별지수)'!AJ28/'원자료(월별지수)'!AI28-1,"")</f>
        <v>0.0841605524384981</v>
      </c>
      <c r="AH28" s="12" t="n">
        <f aca="false">IFERROR('원자료(월별지수)'!AK28/'원자료(월별지수)'!AJ28-1,"")</f>
        <v>-0.0697983014861997</v>
      </c>
      <c r="AI28" s="12" t="n">
        <f aca="false">IFERROR('원자료(월별지수)'!AL28/'원자료(월별지수)'!AK28-1,"")</f>
        <v>-0.0355920114122681</v>
      </c>
      <c r="AJ28" s="12" t="n">
        <f aca="false">IFERROR('원자료(월별지수)'!AM28/'원자료(월별지수)'!AL28-1,"")</f>
        <v>0.00813549293691285</v>
      </c>
      <c r="AK28" s="12" t="n">
        <f aca="false">IFERROR('원자료(월별지수)'!AN28/'원자료(월별지수)'!AM28-1,"")</f>
        <v>0.174235199178344</v>
      </c>
      <c r="AL28" s="12" t="n">
        <f aca="false">IFERROR('원자료(월별지수)'!AO28/'원자료(월별지수)'!AN28-1,"")</f>
        <v>0.0747219792577785</v>
      </c>
      <c r="AM28" s="12" t="n">
        <f aca="false">IFERROR('원자료(월별지수)'!AP28/'원자료(월별지수)'!AO28-1,"")</f>
        <v>-0.00186024880827829</v>
      </c>
      <c r="AN28" s="12" t="n">
        <f aca="false">IFERROR('원자료(월별지수)'!AQ28/'원자료(월별지수)'!AP28-1,"")</f>
        <v>0.0278392545136867</v>
      </c>
      <c r="AO28" s="12" t="n">
        <f aca="false">IFERROR('원자료(월별지수)'!AR28/'원자료(월별지수)'!AQ28-1,"")</f>
        <v>0.102051223934724</v>
      </c>
      <c r="AP28" s="12" t="n">
        <f aca="false">IFERROR('원자료(월별지수)'!AS28/'원자료(월별지수)'!AR28-1,"")</f>
        <v>0.0260167617872384</v>
      </c>
      <c r="AQ28" s="12" t="n">
        <f aca="false">IFERROR('원자료(월별지수)'!AT28/'원자료(월별지수)'!AS28-1,"")</f>
        <v>-0.0130293159609122</v>
      </c>
      <c r="AR28" s="12" t="n">
        <f aca="false">IFERROR('원자료(월별지수)'!AU28/'원자료(월별지수)'!AT28-1,"")</f>
        <v>-0.103376491495303</v>
      </c>
      <c r="AS28" s="12" t="n">
        <f aca="false">IFERROR('원자료(월별지수)'!AV28/'원자료(월별지수)'!AU28-1,"")</f>
        <v>0</v>
      </c>
      <c r="AT28" s="12" t="n">
        <f aca="false">IFERROR('원자료(월별지수)'!AW28/'원자료(월별지수)'!AV28-1,"")</f>
        <v>-0.236253468486324</v>
      </c>
      <c r="AU28" s="12" t="n">
        <f aca="false">IFERROR('원자료(월별지수)'!AX28/'원자료(월별지수)'!AW28-1,"")</f>
        <v>-0.0932750055609105</v>
      </c>
      <c r="AV28" s="12" t="n">
        <f aca="false">IFERROR('원자료(월별지수)'!AY28/'원자료(월별지수)'!AX28-1,"")</f>
        <v>-0.0203614359309838</v>
      </c>
      <c r="AW28" s="12" t="n">
        <f aca="false">IFERROR('원자료(월별지수)'!AZ28/'원자료(월별지수)'!AY28-1,"")</f>
        <v>0.0813021702838064</v>
      </c>
      <c r="AX28" s="12" t="n">
        <f aca="false">IFERROR('원자료(월별지수)'!BA28/'원자료(월별지수)'!AZ28-1,"")</f>
        <v>0.0768102516597191</v>
      </c>
      <c r="AY28" s="12" t="n">
        <f aca="false">IFERROR('원자료(월별지수)'!BB28/'원자료(월별지수)'!BA28-1,"")</f>
        <v>0.204028962649652</v>
      </c>
      <c r="AZ28" s="12" t="n">
        <f aca="false">IFERROR('원자료(월별지수)'!BC28/'원자료(월별지수)'!BB28-1,"")</f>
        <v>-0.0236975290264959</v>
      </c>
      <c r="BA28" s="12" t="n">
        <f aca="false">IFERROR('원자료(월별지수)'!BD28/'원자료(월별지수)'!BC28-1,"")</f>
        <v>0.0272610843446972</v>
      </c>
      <c r="BB28" s="12" t="n">
        <f aca="false">IFERROR('원자료(월별지수)'!BE28/'원자료(월별지수)'!BD28-1,"")</f>
        <v>-0.127879363571598</v>
      </c>
      <c r="BC28" s="12" t="n">
        <f aca="false">IFERROR('원자료(월별지수)'!BF28/'원자료(월별지수)'!BE28-1,"")</f>
        <v>0.0914227365554801</v>
      </c>
      <c r="BD28" s="12" t="n">
        <f aca="false">IFERROR('원자료(월별지수)'!BG28/'원자료(월별지수)'!BF28-1,"")</f>
        <v>0.0333063057444021</v>
      </c>
      <c r="BE28" s="12" t="n">
        <f aca="false">IFERROR('원자료(월별지수)'!BH28/'원자료(월별지수)'!BG28-1,"")</f>
        <v>-0.0167199855133698</v>
      </c>
      <c r="BF28" s="12" t="n">
        <f aca="false">IFERROR('원자료(월별지수)'!BI28/'원자료(월별지수)'!BH28-1,"")</f>
        <v>-0.215899324739104</v>
      </c>
      <c r="BG28" s="12" t="n">
        <f aca="false">IFERROR('원자료(월별지수)'!BJ28/'원자료(월별지수)'!BI28-1,"")</f>
        <v>0.289908400532373</v>
      </c>
      <c r="BH28" s="12" t="n">
        <f aca="false">IFERROR('원자료(월별지수)'!BK28/'원자료(월별지수)'!BJ28-1,"")</f>
        <v>-0.124787569798495</v>
      </c>
      <c r="BI28" s="12" t="n">
        <f aca="false">IFERROR('원자료(월별지수)'!BL28/'원자료(월별지수)'!BK28-1,"")</f>
        <v>0.19750346740638</v>
      </c>
      <c r="BJ28" s="12" t="n">
        <f aca="false">IFERROR('원자료(월별지수)'!BM28/'원자료(월별지수)'!BL28-1,"")</f>
        <v>-0.0126824183460736</v>
      </c>
      <c r="BK28" s="12" t="n">
        <f aca="false">IFERROR('원자료(월별지수)'!BN28/'원자료(월별지수)'!BM28-1,"")</f>
        <v>0.0185348114258901</v>
      </c>
      <c r="BL28" s="12" t="n">
        <f aca="false">IFERROR('원자료(월별지수)'!BO28/'원자료(월별지수)'!BN28-1,"")</f>
        <v>-0.015606104232652</v>
      </c>
      <c r="BM28" s="12" t="n">
        <f aca="false">IFERROR('원자료(월별지수)'!BP28/'원자료(월별지수)'!BO28-1,"")</f>
        <v>-0.00596700596700606</v>
      </c>
      <c r="BN28" s="12" t="n">
        <f aca="false">IFERROR('원자료(월별지수)'!BQ28/'원자료(월별지수)'!BP28-1,"")</f>
        <v>-0.00376647834274946</v>
      </c>
    </row>
    <row r="29" customFormat="false" ht="15" hidden="false" customHeight="false" outlineLevel="0" collapsed="false">
      <c r="A29" s="8" t="s">
        <v>117</v>
      </c>
      <c r="B29" s="9" t="s">
        <v>119</v>
      </c>
      <c r="C29" s="12" t="n">
        <f aca="false">IFERROR('원자료(월별지수)'!F29/'원자료(월별지수)'!E29-1,"")</f>
        <v>0.02846026370776</v>
      </c>
      <c r="D29" s="12" t="n">
        <f aca="false">IFERROR('원자료(월별지수)'!G29/'원자료(월별지수)'!F29-1,"")</f>
        <v>0.0205968894493485</v>
      </c>
      <c r="E29" s="12" t="n">
        <f aca="false">IFERROR('원자료(월별지수)'!H29/'원자료(월별지수)'!G29-1,"")</f>
        <v>0.0211422295442063</v>
      </c>
      <c r="F29" s="12" t="n">
        <f aca="false">IFERROR('원자료(월별지수)'!I29/'원자료(월별지수)'!H29-1,"")</f>
        <v>0.0667518150040334</v>
      </c>
      <c r="G29" s="12" t="n">
        <f aca="false">IFERROR('원자료(월별지수)'!J29/'원자료(월별지수)'!I29-1,"")</f>
        <v>0.0395740122250929</v>
      </c>
      <c r="H29" s="12" t="n">
        <f aca="false">IFERROR('원자료(월별지수)'!K29/'원자료(월별지수)'!J29-1,"")</f>
        <v>0.124992422864763</v>
      </c>
      <c r="I29" s="12" t="n">
        <f aca="false">IFERROR('원자료(월별지수)'!L29/'원자료(월별지수)'!K29-1,"")</f>
        <v>0.0249474648418557</v>
      </c>
      <c r="J29" s="12" t="n">
        <f aca="false">IFERROR('원자료(월별지수)'!M29/'원자료(월별지수)'!L29-1,"")</f>
        <v>-0.550730732835664</v>
      </c>
      <c r="K29" s="12" t="n">
        <f aca="false">IFERROR('원자료(월별지수)'!N29/'원자료(월별지수)'!M29-1,"")</f>
        <v>-0.134799906388954</v>
      </c>
      <c r="L29" s="12" t="n">
        <f aca="false">IFERROR('원자료(월별지수)'!O29/'원자료(월별지수)'!N29-1,"")</f>
        <v>0.102650797944279</v>
      </c>
      <c r="M29" s="12" t="n">
        <f aca="false">IFERROR('원자료(월별지수)'!P29/'원자료(월별지수)'!O29-1,"")</f>
        <v>0.130013491966147</v>
      </c>
      <c r="N29" s="12" t="n">
        <f aca="false">IFERROR('원자료(월별지수)'!Q29/'원자료(월별지수)'!P29-1,"")</f>
        <v>0.112449799196787</v>
      </c>
      <c r="O29" s="12" t="n">
        <f aca="false">IFERROR('원자료(월별지수)'!R29/'원자료(월별지수)'!Q29-1,"")</f>
        <v>-0.0749341399160893</v>
      </c>
      <c r="P29" s="12" t="n">
        <f aca="false">IFERROR('원자료(월별지수)'!S29/'원자료(월별지수)'!R29-1,"")</f>
        <v>-0.0147663748549731</v>
      </c>
      <c r="Q29" s="12" t="n">
        <f aca="false">IFERROR('원자료(월별지수)'!T29/'원자료(월별지수)'!S29-1,"")</f>
        <v>0.0577026014345359</v>
      </c>
      <c r="R29" s="12" t="n">
        <f aca="false">IFERROR('원자료(월별지수)'!U29/'원자료(월별지수)'!T29-1,"")</f>
        <v>0.0751012145748988</v>
      </c>
      <c r="S29" s="12" t="n">
        <f aca="false">IFERROR('원자료(월별지수)'!V29/'원자료(월별지수)'!U29-1,"")</f>
        <v>0.190171342496705</v>
      </c>
      <c r="T29" s="12" t="n">
        <f aca="false">IFERROR('원자료(월별지수)'!W29/'원자료(월별지수)'!V29-1,"")</f>
        <v>0.073564309444708</v>
      </c>
      <c r="U29" s="12" t="n">
        <f aca="false">IFERROR('원자료(월별지수)'!X29/'원자료(월별지수)'!W29-1,"")</f>
        <v>-0.0722074860005895</v>
      </c>
      <c r="V29" s="12" t="n">
        <f aca="false">IFERROR('원자료(월별지수)'!Y29/'원자료(월별지수)'!X29-1,"")</f>
        <v>-0.349666454891995</v>
      </c>
      <c r="W29" s="12" t="n">
        <f aca="false">IFERROR('원자료(월별지수)'!Z29/'원자료(월별지수)'!Y29-1,"")</f>
        <v>-0.173159115887166</v>
      </c>
      <c r="X29" s="12" t="n">
        <f aca="false">IFERROR('원자료(월별지수)'!AA29/'원자료(월별지수)'!Z29-1,"")</f>
        <v>0.032639196573623</v>
      </c>
      <c r="Y29" s="12" t="n">
        <f aca="false">IFERROR('원자료(월별지수)'!AB29/'원자료(월별지수)'!AA29-1,"")</f>
        <v>0.0147311212814645</v>
      </c>
      <c r="Z29" s="12" t="n">
        <f aca="false">IFERROR('원자료(월별지수)'!AC29/'원자료(월별지수)'!AB29-1,"")</f>
        <v>0.119238900634249</v>
      </c>
      <c r="AA29" s="12" t="n">
        <f aca="false">IFERROR('원자료(월별지수)'!AD29/'원자료(월별지수)'!AC29-1,"")</f>
        <v>0.00805943835788936</v>
      </c>
      <c r="AB29" s="12" t="n">
        <f aca="false">IFERROR('원자료(월별지수)'!AE29/'원자료(월별지수)'!AD29-1,"")</f>
        <v>-0.0519675202998126</v>
      </c>
      <c r="AC29" s="12" t="n">
        <f aca="false">IFERROR('원자료(월별지수)'!AF29/'원자료(월별지수)'!AE29-1,"")</f>
        <v>-0.0459876136513374</v>
      </c>
      <c r="AD29" s="12" t="n">
        <f aca="false">IFERROR('원자료(월별지수)'!AG29/'원자료(월별지수)'!AF29-1,"")</f>
        <v>0.101795580110497</v>
      </c>
      <c r="AE29" s="12" t="n">
        <f aca="false">IFERROR('원자료(월별지수)'!AH29/'원자료(월별지수)'!AG29-1,"")</f>
        <v>0.167982950984079</v>
      </c>
      <c r="AF29" s="12" t="n">
        <f aca="false">IFERROR('원자료(월별지수)'!AI29/'원자료(월별지수)'!AH29-1,"")</f>
        <v>0.115380487281314</v>
      </c>
      <c r="AG29" s="12" t="n">
        <f aca="false">IFERROR('원자료(월별지수)'!AJ29/'원자료(월별지수)'!AI29-1,"")</f>
        <v>0.0106812933025404</v>
      </c>
      <c r="AH29" s="12" t="n">
        <f aca="false">IFERROR('원자료(월별지수)'!AK29/'원자료(월별지수)'!AJ29-1,"")</f>
        <v>0.0882604970008569</v>
      </c>
      <c r="AI29" s="12" t="n">
        <f aca="false">IFERROR('원자료(월별지수)'!AL29/'원자료(월별지수)'!AK29-1,"")</f>
        <v>-0.0888013998250218</v>
      </c>
      <c r="AJ29" s="12" t="n">
        <f aca="false">IFERROR('원자료(월별지수)'!AM29/'원자료(월별지수)'!AL29-1,"")</f>
        <v>0.118002880460874</v>
      </c>
      <c r="AK29" s="12" t="n">
        <f aca="false">IFERROR('원자료(월별지수)'!AN29/'원자료(월별지수)'!AM29-1,"")</f>
        <v>0.0846788045345241</v>
      </c>
      <c r="AL29" s="12" t="n">
        <f aca="false">IFERROR('원자료(월별지수)'!AO29/'원자료(월별지수)'!AN29-1,"")</f>
        <v>0.0965162311955663</v>
      </c>
      <c r="AM29" s="12" t="n">
        <f aca="false">IFERROR('원자료(월별지수)'!AP29/'원자료(월별지수)'!AO29-1,"")</f>
        <v>0.109899631742364</v>
      </c>
      <c r="AN29" s="12" t="n">
        <f aca="false">IFERROR('원자료(월별지수)'!AQ29/'원자료(월별지수)'!AP29-1,"")</f>
        <v>0.195107670288205</v>
      </c>
      <c r="AO29" s="12" t="n">
        <f aca="false">IFERROR('원자료(월별지수)'!AR29/'원자료(월별지수)'!AQ29-1,"")</f>
        <v>0.257974959172564</v>
      </c>
      <c r="AP29" s="12" t="n">
        <f aca="false">IFERROR('원자료(월별지수)'!AS29/'원자료(월별지수)'!AR29-1,"")</f>
        <v>0.109351334977714</v>
      </c>
      <c r="AQ29" s="12" t="n">
        <f aca="false">IFERROR('원자료(월별지수)'!AT29/'원자료(월별지수)'!AS29-1,"")</f>
        <v>0.0893275081916054</v>
      </c>
      <c r="AR29" s="12" t="n">
        <f aca="false">IFERROR('원자료(월별지수)'!AU29/'원자료(월별지수)'!AT29-1,"")</f>
        <v>0.0571152331160925</v>
      </c>
      <c r="AS29" s="12" t="n">
        <f aca="false">IFERROR('원자료(월별지수)'!AV29/'원자료(월별지수)'!AU29-1,"")</f>
        <v>-0.666406964533722</v>
      </c>
      <c r="AT29" s="12" t="n">
        <f aca="false">IFERROR('원자료(월별지수)'!AW29/'원자료(월별지수)'!AV29-1,"")</f>
        <v>0.080625507717303</v>
      </c>
      <c r="AU29" s="12" t="n">
        <f aca="false">IFERROR('원자료(월별지수)'!AX29/'원자료(월별지수)'!AW29-1,"")</f>
        <v>-0.0580717910167262</v>
      </c>
      <c r="AV29" s="12" t="n">
        <f aca="false">IFERROR('원자료(월별지수)'!AY29/'원자료(월별지수)'!AX29-1,"")</f>
        <v>0.395550678371907</v>
      </c>
      <c r="AW29" s="12" t="n">
        <f aca="false">IFERROR('원자료(월별지수)'!AZ29/'원자료(월별지수)'!AY29-1,"")</f>
        <v>0.206662377582386</v>
      </c>
      <c r="AX29" s="12" t="n">
        <f aca="false">IFERROR('원자료(월별지수)'!BA29/'원자료(월별지수)'!AZ29-1,"")</f>
        <v>0.112085308056872</v>
      </c>
      <c r="AY29" s="12" t="n">
        <f aca="false">IFERROR('원자료(월별지수)'!BB29/'원자료(월별지수)'!BA29-1,"")</f>
        <v>-0.0564670786277435</v>
      </c>
      <c r="AZ29" s="12" t="n">
        <f aca="false">IFERROR('원자료(월별지수)'!BC29/'원자료(월별지수)'!BB29-1,"")</f>
        <v>-0.0410456187895213</v>
      </c>
      <c r="BA29" s="12" t="n">
        <f aca="false">IFERROR('원자료(월별지수)'!BD29/'원자료(월별지수)'!BC29-1,"")</f>
        <v>0.00794818957904031</v>
      </c>
      <c r="BB29" s="12" t="n">
        <f aca="false">IFERROR('원자료(월별지수)'!BE29/'원자료(월별지수)'!BD29-1,"")</f>
        <v>-0.132535046728972</v>
      </c>
      <c r="BC29" s="12" t="n">
        <f aca="false">IFERROR('원자료(월별지수)'!BF29/'원자료(월별지수)'!BE29-1,"")</f>
        <v>-0.0434314187596794</v>
      </c>
      <c r="BD29" s="12" t="n">
        <f aca="false">IFERROR('원자료(월별지수)'!BG29/'원자료(월별지수)'!BF29-1,"")</f>
        <v>-0.0720822187807969</v>
      </c>
      <c r="BE29" s="12" t="n">
        <f aca="false">IFERROR('원자료(월별지수)'!BH29/'원자료(월별지수)'!BG29-1,"")</f>
        <v>-0.124487938097406</v>
      </c>
      <c r="BF29" s="12" t="n">
        <f aca="false">IFERROR('원자료(월별지수)'!BI29/'원자료(월별지수)'!BH29-1,"")</f>
        <v>-0.107096438783468</v>
      </c>
      <c r="BG29" s="12" t="n">
        <f aca="false">IFERROR('원자료(월별지수)'!BJ29/'원자료(월별지수)'!BI29-1,"")</f>
        <v>-0.0379427462396894</v>
      </c>
      <c r="BH29" s="12" t="n">
        <f aca="false">IFERROR('원자료(월별지수)'!BK29/'원자료(월별지수)'!BJ29-1,"")</f>
        <v>0.0582005245107928</v>
      </c>
      <c r="BI29" s="12" t="n">
        <f aca="false">IFERROR('원자료(월별지수)'!BL29/'원자료(월별지수)'!BK29-1,"")</f>
        <v>0.0352683252311505</v>
      </c>
      <c r="BJ29" s="12" t="n">
        <f aca="false">IFERROR('원자료(월별지수)'!BM29/'원자료(월별지수)'!BL29-1,"")</f>
        <v>0.081576282110303</v>
      </c>
      <c r="BK29" s="12" t="n">
        <f aca="false">IFERROR('원자료(월별지수)'!BN29/'원자료(월별지수)'!BM29-1,"")</f>
        <v>0.0465650804460713</v>
      </c>
      <c r="BL29" s="12" t="n">
        <f aca="false">IFERROR('원자료(월별지수)'!BO29/'원자료(월별지수)'!BN29-1,"")</f>
        <v>0.0685700341630064</v>
      </c>
      <c r="BM29" s="12" t="n">
        <f aca="false">IFERROR('원자료(월별지수)'!BP29/'원자료(월별지수)'!BO29-1,"")</f>
        <v>0.0220750551876381</v>
      </c>
      <c r="BN29" s="12" t="n">
        <f aca="false">IFERROR('원자료(월별지수)'!BQ29/'원자료(월별지수)'!BP29-1,"")</f>
        <v>0.00960750726148807</v>
      </c>
    </row>
    <row r="30" customFormat="false" ht="15" hidden="false" customHeight="false" outlineLevel="0" collapsed="false">
      <c r="A30" s="8" t="s">
        <v>117</v>
      </c>
      <c r="B30" s="9" t="s">
        <v>120</v>
      </c>
      <c r="C30" s="12" t="n">
        <f aca="false">IFERROR('원자료(월별지수)'!F30/'원자료(월별지수)'!E30-1,"")</f>
        <v>0</v>
      </c>
      <c r="D30" s="12" t="n">
        <f aca="false">IFERROR('원자료(월별지수)'!G30/'원자료(월별지수)'!F30-1,"")</f>
        <v>0</v>
      </c>
      <c r="E30" s="12" t="n">
        <f aca="false">IFERROR('원자료(월별지수)'!H30/'원자료(월별지수)'!G30-1,"")</f>
        <v>0</v>
      </c>
      <c r="F30" s="12" t="n">
        <f aca="false">IFERROR('원자료(월별지수)'!I30/'원자료(월별지수)'!H30-1,"")</f>
        <v>0</v>
      </c>
      <c r="G30" s="12" t="n">
        <f aca="false">IFERROR('원자료(월별지수)'!J30/'원자료(월별지수)'!I30-1,"")</f>
        <v>0</v>
      </c>
      <c r="H30" s="12" t="n">
        <f aca="false">IFERROR('원자료(월별지수)'!K30/'원자료(월별지수)'!J30-1,"")</f>
        <v>0.26758294856652</v>
      </c>
      <c r="I30" s="12" t="n">
        <f aca="false">IFERROR('원자료(월별지수)'!L30/'원자료(월별지수)'!K30-1,"")</f>
        <v>-0.065141889030072</v>
      </c>
      <c r="J30" s="12" t="n">
        <f aca="false">IFERROR('원자료(월별지수)'!M30/'원자료(월별지수)'!L30-1,"")</f>
        <v>0</v>
      </c>
      <c r="K30" s="12" t="n">
        <f aca="false">IFERROR('원자료(월별지수)'!N30/'원자료(월별지수)'!M30-1,"")</f>
        <v>0</v>
      </c>
      <c r="L30" s="12" t="n">
        <f aca="false">IFERROR('원자료(월별지수)'!O30/'원자료(월별지수)'!N30-1,"")</f>
        <v>0</v>
      </c>
      <c r="M30" s="12" t="n">
        <f aca="false">IFERROR('원자료(월별지수)'!P30/'원자료(월별지수)'!O30-1,"")</f>
        <v>0</v>
      </c>
      <c r="N30" s="12" t="n">
        <f aca="false">IFERROR('원자료(월별지수)'!Q30/'원자료(월별지수)'!P30-1,"")</f>
        <v>0</v>
      </c>
      <c r="O30" s="12" t="n">
        <f aca="false">IFERROR('원자료(월별지수)'!R30/'원자료(월별지수)'!Q30-1,"")</f>
        <v>0</v>
      </c>
      <c r="P30" s="12" t="n">
        <f aca="false">IFERROR('원자료(월별지수)'!S30/'원자료(월별지수)'!R30-1,"")</f>
        <v>0</v>
      </c>
      <c r="Q30" s="12" t="n">
        <f aca="false">IFERROR('원자료(월별지수)'!T30/'원자료(월별지수)'!S30-1,"")</f>
        <v>0</v>
      </c>
      <c r="R30" s="12" t="n">
        <f aca="false">IFERROR('원자료(월별지수)'!U30/'원자료(월별지수)'!T30-1,"")</f>
        <v>0</v>
      </c>
      <c r="S30" s="12" t="n">
        <f aca="false">IFERROR('원자료(월별지수)'!V30/'원자료(월별지수)'!U30-1,"")</f>
        <v>0</v>
      </c>
      <c r="T30" s="12" t="n">
        <f aca="false">IFERROR('원자료(월별지수)'!W30/'원자료(월별지수)'!V30-1,"")</f>
        <v>0.183399782529902</v>
      </c>
      <c r="U30" s="12" t="n">
        <f aca="false">IFERROR('원자료(월별지수)'!X30/'원자료(월별지수)'!W30-1,"")</f>
        <v>-0.166615620214395</v>
      </c>
      <c r="V30" s="12" t="n">
        <f aca="false">IFERROR('원자료(월별지수)'!Y30/'원자료(월별지수)'!X30-1,"")</f>
        <v>0</v>
      </c>
      <c r="W30" s="12" t="n">
        <f aca="false">IFERROR('원자료(월별지수)'!Z30/'원자료(월별지수)'!Y30-1,"")</f>
        <v>0</v>
      </c>
      <c r="X30" s="12" t="n">
        <f aca="false">IFERROR('원자료(월별지수)'!AA30/'원자료(월별지수)'!Z30-1,"")</f>
        <v>0</v>
      </c>
      <c r="Y30" s="12" t="n">
        <f aca="false">IFERROR('원자료(월별지수)'!AB30/'원자료(월별지수)'!AA30-1,"")</f>
        <v>0</v>
      </c>
      <c r="Z30" s="12" t="n">
        <f aca="false">IFERROR('원자료(월별지수)'!AC30/'원자료(월별지수)'!AB30-1,"")</f>
        <v>0</v>
      </c>
      <c r="AA30" s="12" t="n">
        <f aca="false">IFERROR('원자료(월별지수)'!AD30/'원자료(월별지수)'!AC30-1,"")</f>
        <v>0</v>
      </c>
      <c r="AB30" s="12" t="n">
        <f aca="false">IFERROR('원자료(월별지수)'!AE30/'원자료(월별지수)'!AD30-1,"")</f>
        <v>0</v>
      </c>
      <c r="AC30" s="12" t="n">
        <f aca="false">IFERROR('원자료(월별지수)'!AF30/'원자료(월별지수)'!AE30-1,"")</f>
        <v>0</v>
      </c>
      <c r="AD30" s="12" t="n">
        <f aca="false">IFERROR('원자료(월별지수)'!AG30/'원자료(월별지수)'!AF30-1,"")</f>
        <v>0</v>
      </c>
      <c r="AE30" s="12" t="n">
        <f aca="false">IFERROR('원자료(월별지수)'!AH30/'원자료(월별지수)'!AG30-1,"")</f>
        <v>0</v>
      </c>
      <c r="AF30" s="12" t="n">
        <f aca="false">IFERROR('원자료(월별지수)'!AI30/'원자료(월별지수)'!AH30-1,"")</f>
        <v>0.107129731716281</v>
      </c>
      <c r="AG30" s="12" t="n">
        <f aca="false">IFERROR('원자료(월별지수)'!AJ30/'원자료(월별지수)'!AI30-1,"")</f>
        <v>0.421244813278008</v>
      </c>
      <c r="AH30" s="12" t="n">
        <f aca="false">IFERROR('원자료(월별지수)'!AK30/'원자료(월별지수)'!AJ30-1,"")</f>
        <v>0</v>
      </c>
      <c r="AI30" s="12" t="n">
        <f aca="false">IFERROR('원자료(월별지수)'!AL30/'원자료(월별지수)'!AK30-1,"")</f>
        <v>0</v>
      </c>
      <c r="AJ30" s="12" t="n">
        <f aca="false">IFERROR('원자료(월별지수)'!AM30/'원자료(월별지수)'!AL30-1,"")</f>
        <v>0</v>
      </c>
      <c r="AK30" s="12" t="n">
        <f aca="false">IFERROR('원자료(월별지수)'!AN30/'원자료(월별지수)'!AM30-1,"")</f>
        <v>0</v>
      </c>
      <c r="AL30" s="12" t="n">
        <f aca="false">IFERROR('원자료(월별지수)'!AO30/'원자료(월별지수)'!AN30-1,"")</f>
        <v>0</v>
      </c>
      <c r="AM30" s="12" t="n">
        <f aca="false">IFERROR('원자료(월별지수)'!AP30/'원자료(월별지수)'!AO30-1,"")</f>
        <v>0</v>
      </c>
      <c r="AN30" s="12" t="n">
        <f aca="false">IFERROR('원자료(월별지수)'!AQ30/'원자료(월별지수)'!AP30-1,"")</f>
        <v>0</v>
      </c>
      <c r="AO30" s="12" t="n">
        <f aca="false">IFERROR('원자료(월별지수)'!AR30/'원자료(월별지수)'!AQ30-1,"")</f>
        <v>0</v>
      </c>
      <c r="AP30" s="12" t="n">
        <f aca="false">IFERROR('원자료(월별지수)'!AS30/'원자료(월별지수)'!AR30-1,"")</f>
        <v>0</v>
      </c>
      <c r="AQ30" s="12" t="n">
        <f aca="false">IFERROR('원자료(월별지수)'!AT30/'원자료(월별지수)'!AS30-1,"")</f>
        <v>0</v>
      </c>
      <c r="AR30" s="12" t="n">
        <f aca="false">IFERROR('원자료(월별지수)'!AU30/'원자료(월별지수)'!AT30-1,"")</f>
        <v>-0.424675931332477</v>
      </c>
      <c r="AS30" s="12" t="n">
        <f aca="false">IFERROR('원자료(월별지수)'!AV30/'원자료(월별지수)'!AU30-1,"")</f>
        <v>0.104739673195981</v>
      </c>
      <c r="AT30" s="12" t="n">
        <f aca="false">IFERROR('원자료(월별지수)'!AW30/'원자료(월별지수)'!AV30-1,"")</f>
        <v>0.247220946256316</v>
      </c>
      <c r="AU30" s="12" t="n">
        <f aca="false">IFERROR('원자료(월별지수)'!AX30/'원자료(월별지수)'!AW30-1,"")</f>
        <v>0</v>
      </c>
      <c r="AV30" s="12" t="n">
        <f aca="false">IFERROR('원자료(월별지수)'!AY30/'원자료(월별지수)'!AX30-1,"")</f>
        <v>0</v>
      </c>
      <c r="AW30" s="12" t="n">
        <f aca="false">IFERROR('원자료(월별지수)'!AZ30/'원자료(월별지수)'!AY30-1,"")</f>
        <v>0</v>
      </c>
      <c r="AX30" s="12" t="n">
        <f aca="false">IFERROR('원자료(월별지수)'!BA30/'원자료(월별지수)'!AZ30-1,"")</f>
        <v>0</v>
      </c>
      <c r="AY30" s="12" t="n">
        <f aca="false">IFERROR('원자료(월별지수)'!BB30/'원자료(월별지수)'!BA30-1,"")</f>
        <v>0</v>
      </c>
      <c r="AZ30" s="12" t="n">
        <f aca="false">IFERROR('원자료(월별지수)'!BC30/'원자료(월별지수)'!BB30-1,"")</f>
        <v>0</v>
      </c>
      <c r="BA30" s="12" t="n">
        <f aca="false">IFERROR('원자료(월별지수)'!BD30/'원자료(월별지수)'!BC30-1,"")</f>
        <v>0</v>
      </c>
      <c r="BB30" s="12" t="n">
        <f aca="false">IFERROR('원자료(월별지수)'!BE30/'원자료(월별지수)'!BD30-1,"")</f>
        <v>0</v>
      </c>
      <c r="BC30" s="12" t="n">
        <f aca="false">IFERROR('원자료(월별지수)'!BF30/'원자료(월별지수)'!BE30-1,"")</f>
        <v>0</v>
      </c>
      <c r="BD30" s="12" t="n">
        <f aca="false">IFERROR('원자료(월별지수)'!BG30/'원자료(월별지수)'!BF30-1,"")</f>
        <v>-0.0740276959340012</v>
      </c>
      <c r="BE30" s="12" t="n">
        <f aca="false">IFERROR('원자료(월별지수)'!BH30/'원자료(월별지수)'!BG30-1,"")</f>
        <v>-0.168403468300056</v>
      </c>
      <c r="BF30" s="12" t="n">
        <f aca="false">IFERROR('원자료(월별지수)'!BI30/'원자료(월별지수)'!BH30-1,"")</f>
        <v>-0.128754543715324</v>
      </c>
      <c r="BG30" s="12" t="n">
        <f aca="false">IFERROR('원자료(월별지수)'!BJ30/'원자료(월별지수)'!BI30-1,"")</f>
        <v>0</v>
      </c>
      <c r="BH30" s="12" t="n">
        <f aca="false">IFERROR('원자료(월별지수)'!BK30/'원자료(월별지수)'!BJ30-1,"")</f>
        <v>0</v>
      </c>
      <c r="BI30" s="12" t="n">
        <f aca="false">IFERROR('원자료(월별지수)'!BL30/'원자료(월별지수)'!BK30-1,"")</f>
        <v>0</v>
      </c>
      <c r="BJ30" s="12" t="n">
        <f aca="false">IFERROR('원자료(월별지수)'!BM30/'원자료(월별지수)'!BL30-1,"")</f>
        <v>0</v>
      </c>
      <c r="BK30" s="12" t="n">
        <f aca="false">IFERROR('원자료(월별지수)'!BN30/'원자료(월별지수)'!BM30-1,"")</f>
        <v>0</v>
      </c>
      <c r="BL30" s="12" t="n">
        <f aca="false">IFERROR('원자료(월별지수)'!BO30/'원자료(월별지수)'!BN30-1,"")</f>
        <v>0</v>
      </c>
      <c r="BM30" s="12" t="n">
        <f aca="false">IFERROR('원자료(월별지수)'!BP30/'원자료(월별지수)'!BO30-1,"")</f>
        <v>0</v>
      </c>
      <c r="BN30" s="12" t="n">
        <f aca="false">IFERROR('원자료(월별지수)'!BQ30/'원자료(월별지수)'!BP30-1,"")</f>
        <v>0</v>
      </c>
    </row>
    <row r="31" customFormat="false" ht="15" hidden="false" customHeight="false" outlineLevel="0" collapsed="false">
      <c r="A31" s="8" t="s">
        <v>117</v>
      </c>
      <c r="B31" s="9" t="s">
        <v>121</v>
      </c>
      <c r="C31" s="12" t="n">
        <f aca="false">IFERROR('원자료(월별지수)'!F31/'원자료(월별지수)'!E31-1,"")</f>
        <v>0</v>
      </c>
      <c r="D31" s="12" t="n">
        <f aca="false">IFERROR('원자료(월별지수)'!G31/'원자료(월별지수)'!F31-1,"")</f>
        <v>0</v>
      </c>
      <c r="E31" s="12" t="n">
        <f aca="false">IFERROR('원자료(월별지수)'!H31/'원자료(월별지수)'!G31-1,"")</f>
        <v>0</v>
      </c>
      <c r="F31" s="12" t="n">
        <f aca="false">IFERROR('원자료(월별지수)'!I31/'원자료(월별지수)'!H31-1,"")</f>
        <v>0</v>
      </c>
      <c r="G31" s="12" t="n">
        <f aca="false">IFERROR('원자료(월별지수)'!J31/'원자료(월별지수)'!I31-1,"")</f>
        <v>0</v>
      </c>
      <c r="H31" s="12" t="n">
        <f aca="false">IFERROR('원자료(월별지수)'!K31/'원자료(월별지수)'!J31-1,"")</f>
        <v>0.353572786012923</v>
      </c>
      <c r="I31" s="12" t="n">
        <f aca="false">IFERROR('원자료(월별지수)'!L31/'원자료(월별지수)'!K31-1,"")</f>
        <v>-0.216146016146016</v>
      </c>
      <c r="J31" s="12" t="n">
        <f aca="false">IFERROR('원자료(월별지수)'!M31/'원자료(월별지수)'!L31-1,"")</f>
        <v>-0.0325989611320079</v>
      </c>
      <c r="K31" s="12" t="n">
        <f aca="false">IFERROR('원자료(월별지수)'!N31/'원자료(월별지수)'!M31-1,"")</f>
        <v>-0.0328642843917792</v>
      </c>
      <c r="L31" s="12" t="n">
        <f aca="false">IFERROR('원자료(월별지수)'!O31/'원자료(월별지수)'!N31-1,"")</f>
        <v>0</v>
      </c>
      <c r="M31" s="12" t="n">
        <f aca="false">IFERROR('원자료(월별지수)'!P31/'원자료(월별지수)'!O31-1,"")</f>
        <v>0</v>
      </c>
      <c r="N31" s="12" t="n">
        <f aca="false">IFERROR('원자료(월별지수)'!Q31/'원자료(월별지수)'!P31-1,"")</f>
        <v>0</v>
      </c>
      <c r="O31" s="12" t="n">
        <f aca="false">IFERROR('원자료(월별지수)'!R31/'원자료(월별지수)'!Q31-1,"")</f>
        <v>0</v>
      </c>
      <c r="P31" s="12" t="n">
        <f aca="false">IFERROR('원자료(월별지수)'!S31/'원자료(월별지수)'!R31-1,"")</f>
        <v>0</v>
      </c>
      <c r="Q31" s="12" t="n">
        <f aca="false">IFERROR('원자료(월별지수)'!T31/'원자료(월별지수)'!S31-1,"")</f>
        <v>0</v>
      </c>
      <c r="R31" s="12" t="n">
        <f aca="false">IFERROR('원자료(월별지수)'!U31/'원자료(월별지수)'!T31-1,"")</f>
        <v>0</v>
      </c>
      <c r="S31" s="12" t="n">
        <f aca="false">IFERROR('원자료(월별지수)'!V31/'원자료(월별지수)'!U31-1,"")</f>
        <v>0</v>
      </c>
      <c r="T31" s="12" t="n">
        <f aca="false">IFERROR('원자료(월별지수)'!W31/'원자료(월별지수)'!V31-1,"")</f>
        <v>0.305446539676462</v>
      </c>
      <c r="U31" s="12" t="n">
        <f aca="false">IFERROR('원자료(월별지수)'!X31/'원자료(월별지수)'!W31-1,"")</f>
        <v>-0.0137116879307817</v>
      </c>
      <c r="V31" s="12" t="n">
        <f aca="false">IFERROR('원자료(월별지수)'!Y31/'원자료(월별지수)'!X31-1,"")</f>
        <v>-0.142517284960226</v>
      </c>
      <c r="W31" s="12" t="n">
        <f aca="false">IFERROR('원자료(월별지수)'!Z31/'원자료(월별지수)'!Y31-1,"")</f>
        <v>-0.0891277960811514</v>
      </c>
      <c r="X31" s="12" t="n">
        <f aca="false">IFERROR('원자료(월별지수)'!AA31/'원자료(월별지수)'!Z31-1,"")</f>
        <v>0.0408338092518561</v>
      </c>
      <c r="Y31" s="12" t="n">
        <f aca="false">IFERROR('원자료(월별지수)'!AB31/'원자료(월별지수)'!AA31-1,"")</f>
        <v>0</v>
      </c>
      <c r="Z31" s="12" t="n">
        <f aca="false">IFERROR('원자료(월별지수)'!AC31/'원자료(월별지수)'!AB31-1,"")</f>
        <v>0</v>
      </c>
      <c r="AA31" s="12" t="n">
        <f aca="false">IFERROR('원자료(월별지수)'!AD31/'원자료(월별지수)'!AC31-1,"")</f>
        <v>0</v>
      </c>
      <c r="AB31" s="12" t="n">
        <f aca="false">IFERROR('원자료(월별지수)'!AE31/'원자료(월별지수)'!AD31-1,"")</f>
        <v>0</v>
      </c>
      <c r="AC31" s="12" t="n">
        <f aca="false">IFERROR('원자료(월별지수)'!AF31/'원자료(월별지수)'!AE31-1,"")</f>
        <v>0</v>
      </c>
      <c r="AD31" s="12" t="n">
        <f aca="false">IFERROR('원자료(월별지수)'!AG31/'원자료(월별지수)'!AF31-1,"")</f>
        <v>0</v>
      </c>
      <c r="AE31" s="12" t="n">
        <f aca="false">IFERROR('원자료(월별지수)'!AH31/'원자료(월별지수)'!AG31-1,"")</f>
        <v>0</v>
      </c>
      <c r="AF31" s="12" t="n">
        <f aca="false">IFERROR('원자료(월별지수)'!AI31/'원자료(월별지수)'!AH31-1,"")</f>
        <v>1.15098308184728</v>
      </c>
      <c r="AG31" s="12" t="n">
        <f aca="false">IFERROR('원자료(월별지수)'!AJ31/'원자료(월별지수)'!AI31-1,"")</f>
        <v>-0.080566302453127</v>
      </c>
      <c r="AH31" s="12" t="n">
        <f aca="false">IFERROR('원자료(월별지수)'!AK31/'원자료(월별지수)'!AJ31-1,"")</f>
        <v>-0.259548691389994</v>
      </c>
      <c r="AI31" s="12" t="n">
        <f aca="false">IFERROR('원자료(월별지수)'!AL31/'원자료(월별지수)'!AK31-1,"")</f>
        <v>-0.146068819084494</v>
      </c>
      <c r="AJ31" s="12" t="n">
        <f aca="false">IFERROR('원자료(월별지수)'!AM31/'원자료(월별지수)'!AL31-1,"")</f>
        <v>0.0190141875091414</v>
      </c>
      <c r="AK31" s="12" t="n">
        <f aca="false">IFERROR('원자료(월별지수)'!AN31/'원자료(월별지수)'!AM31-1,"")</f>
        <v>0.0226065738481414</v>
      </c>
      <c r="AL31" s="12" t="n">
        <f aca="false">IFERROR('원자료(월별지수)'!AO31/'원자료(월별지수)'!AN31-1,"")</f>
        <v>0.101410625307039</v>
      </c>
      <c r="AM31" s="12" t="n">
        <f aca="false">IFERROR('원자료(월별지수)'!AP31/'원자료(월별지수)'!AO31-1,"")</f>
        <v>0.0957053651076845</v>
      </c>
      <c r="AN31" s="12" t="n">
        <f aca="false">IFERROR('원자료(월별지수)'!AQ31/'원자료(월별지수)'!AP31-1,"")</f>
        <v>0.0351244475459409</v>
      </c>
      <c r="AO31" s="12" t="n">
        <f aca="false">IFERROR('원자료(월별지수)'!AR31/'원자료(월별지수)'!AQ31-1,"")</f>
        <v>0</v>
      </c>
      <c r="AP31" s="12" t="n">
        <f aca="false">IFERROR('원자료(월별지수)'!AS31/'원자료(월별지수)'!AR31-1,"")</f>
        <v>0</v>
      </c>
      <c r="AQ31" s="12" t="n">
        <f aca="false">IFERROR('원자료(월별지수)'!AT31/'원자료(월별지수)'!AS31-1,"")</f>
        <v>0</v>
      </c>
      <c r="AR31" s="12" t="n">
        <f aca="false">IFERROR('원자료(월별지수)'!AU31/'원자료(월별지수)'!AT31-1,"")</f>
        <v>-0.182134831460674</v>
      </c>
      <c r="AS31" s="12" t="n">
        <f aca="false">IFERROR('원자료(월별지수)'!AV31/'원자료(월별지수)'!AU31-1,"")</f>
        <v>-0.0403901634839953</v>
      </c>
      <c r="AT31" s="12" t="n">
        <f aca="false">IFERROR('원자료(월별지수)'!AW31/'원자료(월별지수)'!AV31-1,"")</f>
        <v>-0.0484609878310665</v>
      </c>
      <c r="AU31" s="12" t="n">
        <f aca="false">IFERROR('원자료(월별지수)'!AX31/'원자료(월별지수)'!AW31-1,"")</f>
        <v>-0.267208305122997</v>
      </c>
      <c r="AV31" s="12" t="n">
        <f aca="false">IFERROR('원자료(월별지수)'!AY31/'원자료(월별지수)'!AX31-1,"")</f>
        <v>0</v>
      </c>
      <c r="AW31" s="12" t="n">
        <f aca="false">IFERROR('원자료(월별지수)'!AZ31/'원자료(월별지수)'!AY31-1,"")</f>
        <v>0</v>
      </c>
      <c r="AX31" s="12" t="n">
        <f aca="false">IFERROR('원자료(월별지수)'!BA31/'원자료(월별지수)'!AZ31-1,"")</f>
        <v>0.173698798891284</v>
      </c>
      <c r="AY31" s="12" t="n">
        <f aca="false">IFERROR('원자료(월별지수)'!BB31/'원자료(월별지수)'!BA31-1,"")</f>
        <v>-0.0104084667191463</v>
      </c>
      <c r="AZ31" s="12" t="n">
        <f aca="false">IFERROR('원자료(월별지수)'!BC31/'원자료(월별지수)'!BB31-1,"")</f>
        <v>0</v>
      </c>
      <c r="BA31" s="12" t="n">
        <f aca="false">IFERROR('원자료(월별지수)'!BD31/'원자료(월별지수)'!BC31-1,"")</f>
        <v>0</v>
      </c>
      <c r="BB31" s="12" t="n">
        <f aca="false">IFERROR('원자료(월별지수)'!BE31/'원자료(월별지수)'!BD31-1,"")</f>
        <v>0</v>
      </c>
      <c r="BC31" s="12" t="n">
        <f aca="false">IFERROR('원자료(월별지수)'!BF31/'원자료(월별지수)'!BE31-1,"")</f>
        <v>0</v>
      </c>
      <c r="BD31" s="12" t="n">
        <f aca="false">IFERROR('원자료(월별지수)'!BG31/'원자료(월별지수)'!BF31-1,"")</f>
        <v>0.827823934947852</v>
      </c>
      <c r="BE31" s="12" t="n">
        <f aca="false">IFERROR('원자료(월별지수)'!BH31/'원자료(월별지수)'!BG31-1,"")</f>
        <v>-0.242069632495164</v>
      </c>
      <c r="BF31" s="12" t="n">
        <f aca="false">IFERROR('원자료(월별지수)'!BI31/'원자료(월별지수)'!BH31-1,"")</f>
        <v>-0.248564501722598</v>
      </c>
      <c r="BG31" s="12" t="n">
        <f aca="false">IFERROR('원자료(월별지수)'!BJ31/'원자료(월별지수)'!BI31-1,"")</f>
        <v>-0.184836135167261</v>
      </c>
      <c r="BH31" s="12" t="n">
        <f aca="false">IFERROR('원자료(월별지수)'!BK31/'원자료(월별지수)'!BJ31-1,"")</f>
        <v>-0.0341631080095823</v>
      </c>
      <c r="BI31" s="12" t="n">
        <f aca="false">IFERROR('원자료(월별지수)'!BL31/'원자료(월별지수)'!BK31-1,"")</f>
        <v>0.00517631834357801</v>
      </c>
      <c r="BJ31" s="12" t="n">
        <f aca="false">IFERROR('원자료(월별지수)'!BM31/'원자료(월별지수)'!BL31-1,"")</f>
        <v>0.0390516039051605</v>
      </c>
      <c r="BK31" s="12" t="n">
        <f aca="false">IFERROR('원자료(월별지수)'!BN31/'원자료(월별지수)'!BM31-1,"")</f>
        <v>0.0802271553949407</v>
      </c>
      <c r="BL31" s="12" t="n">
        <f aca="false">IFERROR('원자료(월별지수)'!BO31/'원자료(월별지수)'!BN31-1,"")</f>
        <v>0.0800038233607341</v>
      </c>
      <c r="BM31" s="12" t="n">
        <f aca="false">IFERROR('원자료(월별지수)'!BP31/'원자료(월별지수)'!BO31-1,"")</f>
        <v>0</v>
      </c>
      <c r="BN31" s="12" t="n">
        <f aca="false">IFERROR('원자료(월별지수)'!BQ31/'원자료(월별지수)'!BP31-1,"")</f>
        <v>0</v>
      </c>
    </row>
    <row r="32" customFormat="false" ht="15" hidden="false" customHeight="false" outlineLevel="0" collapsed="false">
      <c r="A32" s="8" t="s">
        <v>117</v>
      </c>
      <c r="B32" s="9" t="s">
        <v>122</v>
      </c>
      <c r="C32" s="12" t="n">
        <f aca="false">IFERROR('원자료(월별지수)'!F32/'원자료(월별지수)'!E32-1,"")</f>
        <v>-0.0668812589413448</v>
      </c>
      <c r="D32" s="12" t="n">
        <f aca="false">IFERROR('원자료(월별지수)'!G32/'원자료(월별지수)'!F32-1,"")</f>
        <v>-0.096397087006516</v>
      </c>
      <c r="E32" s="12" t="n">
        <f aca="false">IFERROR('원자료(월별지수)'!H32/'원자료(월별지수)'!G32-1,"")</f>
        <v>0</v>
      </c>
      <c r="F32" s="12" t="n">
        <f aca="false">IFERROR('원자료(월별지수)'!I32/'원자료(월별지수)'!H32-1,"")</f>
        <v>0</v>
      </c>
      <c r="G32" s="12" t="n">
        <f aca="false">IFERROR('원자료(월별지수)'!J32/'원자료(월별지수)'!I32-1,"")</f>
        <v>0</v>
      </c>
      <c r="H32" s="12" t="n">
        <f aca="false">IFERROR('원자료(월별지수)'!K32/'원자료(월별지수)'!J32-1,"")</f>
        <v>0</v>
      </c>
      <c r="I32" s="12" t="n">
        <f aca="false">IFERROR('원자료(월별지수)'!L32/'원자료(월별지수)'!K32-1,"")</f>
        <v>0</v>
      </c>
      <c r="J32" s="12" t="n">
        <f aca="false">IFERROR('원자료(월별지수)'!M32/'원자료(월별지수)'!L32-1,"")</f>
        <v>0</v>
      </c>
      <c r="K32" s="12" t="n">
        <f aca="false">IFERROR('원자료(월별지수)'!N32/'원자료(월별지수)'!M32-1,"")</f>
        <v>-0.00593849416755043</v>
      </c>
      <c r="L32" s="12" t="n">
        <f aca="false">IFERROR('원자료(월별지수)'!O32/'원자료(월별지수)'!N32-1,"")</f>
        <v>0.0416044378066995</v>
      </c>
      <c r="M32" s="12" t="n">
        <f aca="false">IFERROR('원자료(월별지수)'!P32/'원자료(월별지수)'!O32-1,"")</f>
        <v>0.0303154444899632</v>
      </c>
      <c r="N32" s="12" t="n">
        <f aca="false">IFERROR('원자료(월별지수)'!Q32/'원자료(월별지수)'!P32-1,"")</f>
        <v>-0.0290258449304174</v>
      </c>
      <c r="O32" s="12" t="n">
        <f aca="false">IFERROR('원자료(월별지수)'!R32/'원자료(월별지수)'!Q32-1,"")</f>
        <v>0.00511875511875504</v>
      </c>
      <c r="P32" s="12" t="n">
        <f aca="false">IFERROR('원자료(월별지수)'!S32/'원자료(월별지수)'!R32-1,"")</f>
        <v>-0.000101853738032287</v>
      </c>
      <c r="Q32" s="12" t="n">
        <f aca="false">IFERROR('원자료(월별지수)'!T32/'원자료(월별지수)'!S32-1,"")</f>
        <v>0</v>
      </c>
      <c r="R32" s="12" t="n">
        <f aca="false">IFERROR('원자료(월별지수)'!U32/'원자료(월별지수)'!T32-1,"")</f>
        <v>0</v>
      </c>
      <c r="S32" s="12" t="n">
        <f aca="false">IFERROR('원자료(월별지수)'!V32/'원자료(월별지수)'!U32-1,"")</f>
        <v>0</v>
      </c>
      <c r="T32" s="12" t="n">
        <f aca="false">IFERROR('원자료(월별지수)'!W32/'원자료(월별지수)'!V32-1,"")</f>
        <v>0</v>
      </c>
      <c r="U32" s="12" t="n">
        <f aca="false">IFERROR('원자료(월별지수)'!X32/'원자료(월별지수)'!W32-1,"")</f>
        <v>0</v>
      </c>
      <c r="V32" s="12" t="n">
        <f aca="false">IFERROR('원자료(월별지수)'!Y32/'원자료(월별지수)'!X32-1,"")</f>
        <v>0</v>
      </c>
      <c r="W32" s="12" t="n">
        <f aca="false">IFERROR('원자료(월별지수)'!Z32/'원자료(월별지수)'!Y32-1,"")</f>
        <v>0.141183660996231</v>
      </c>
      <c r="X32" s="12" t="n">
        <f aca="false">IFERROR('원자료(월별지수)'!AA32/'원자료(월별지수)'!Z32-1,"")</f>
        <v>-0.164330982772472</v>
      </c>
      <c r="Y32" s="12" t="n">
        <f aca="false">IFERROR('원자료(월별지수)'!AB32/'원자료(월별지수)'!AA32-1,"")</f>
        <v>0.163106173894467</v>
      </c>
      <c r="Z32" s="12" t="n">
        <f aca="false">IFERROR('원자료(월별지수)'!AC32/'원자료(월별지수)'!AB32-1,"")</f>
        <v>0.141978143080173</v>
      </c>
      <c r="AA32" s="12" t="n">
        <f aca="false">IFERROR('원자료(월별지수)'!AD32/'원자료(월별지수)'!AC32-1,"")</f>
        <v>-0.0482509047044633</v>
      </c>
      <c r="AB32" s="12" t="n">
        <f aca="false">IFERROR('원자료(월별지수)'!AE32/'원자료(월별지수)'!AD32-1,"")</f>
        <v>0</v>
      </c>
      <c r="AC32" s="12" t="n">
        <f aca="false">IFERROR('원자료(월별지수)'!AF32/'원자료(월별지수)'!AE32-1,"")</f>
        <v>0</v>
      </c>
      <c r="AD32" s="12" t="n">
        <f aca="false">IFERROR('원자료(월별지수)'!AG32/'원자료(월별지수)'!AF32-1,"")</f>
        <v>0</v>
      </c>
      <c r="AE32" s="12" t="n">
        <f aca="false">IFERROR('원자료(월별지수)'!AH32/'원자료(월별지수)'!AG32-1,"")</f>
        <v>0</v>
      </c>
      <c r="AF32" s="12" t="n">
        <f aca="false">IFERROR('원자료(월별지수)'!AI32/'원자료(월별지수)'!AH32-1,"")</f>
        <v>0</v>
      </c>
      <c r="AG32" s="12" t="n">
        <f aca="false">IFERROR('원자료(월별지수)'!AJ32/'원자료(월별지수)'!AI32-1,"")</f>
        <v>0</v>
      </c>
      <c r="AH32" s="12" t="n">
        <f aca="false">IFERROR('원자료(월별지수)'!AK32/'원자료(월별지수)'!AJ32-1,"")</f>
        <v>0</v>
      </c>
      <c r="AI32" s="12" t="n">
        <f aca="false">IFERROR('원자료(월별지수)'!AL32/'원자료(월별지수)'!AK32-1,"")</f>
        <v>0.0309252217997467</v>
      </c>
      <c r="AJ32" s="12" t="n">
        <f aca="false">IFERROR('원자료(월별지수)'!AM32/'원자료(월별지수)'!AL32-1,"")</f>
        <v>0.195475780673715</v>
      </c>
      <c r="AK32" s="12" t="n">
        <f aca="false">IFERROR('원자료(월별지수)'!AN32/'원자료(월별지수)'!AM32-1,"")</f>
        <v>0.0538187302893185</v>
      </c>
      <c r="AL32" s="12" t="n">
        <f aca="false">IFERROR('원자료(월별지수)'!AO32/'원자료(월별지수)'!AN32-1,"")</f>
        <v>0.487606531780626</v>
      </c>
      <c r="AM32" s="12" t="n">
        <f aca="false">IFERROR('원자료(월별지수)'!AP32/'원자료(월별지수)'!AO32-1,"")</f>
        <v>0.319513688445728</v>
      </c>
      <c r="AN32" s="12" t="n">
        <f aca="false">IFERROR('원자료(월별지수)'!AQ32/'원자료(월별지수)'!AP32-1,"")</f>
        <v>0</v>
      </c>
      <c r="AO32" s="12" t="n">
        <f aca="false">IFERROR('원자료(월별지수)'!AR32/'원자료(월별지수)'!AQ32-1,"")</f>
        <v>0</v>
      </c>
      <c r="AP32" s="12" t="n">
        <f aca="false">IFERROR('원자료(월별지수)'!AS32/'원자료(월별지수)'!AR32-1,"")</f>
        <v>0</v>
      </c>
      <c r="AQ32" s="12" t="n">
        <f aca="false">IFERROR('원자료(월별지수)'!AT32/'원자료(월별지수)'!AS32-1,"")</f>
        <v>0</v>
      </c>
      <c r="AR32" s="12" t="n">
        <f aca="false">IFERROR('원자료(월별지수)'!AU32/'원자료(월별지수)'!AT32-1,"")</f>
        <v>0</v>
      </c>
      <c r="AS32" s="12" t="n">
        <f aca="false">IFERROR('원자료(월별지수)'!AV32/'원자료(월별지수)'!AU32-1,"")</f>
        <v>0</v>
      </c>
      <c r="AT32" s="12" t="n">
        <f aca="false">IFERROR('원자료(월별지수)'!AW32/'원자료(월별지수)'!AV32-1,"")</f>
        <v>0</v>
      </c>
      <c r="AU32" s="12" t="n">
        <f aca="false">IFERROR('원자료(월별지수)'!AX32/'원자료(월별지수)'!AW32-1,"")</f>
        <v>-0.585211454328517</v>
      </c>
      <c r="AV32" s="12" t="n">
        <f aca="false">IFERROR('원자료(월별지수)'!AY32/'원자료(월별지수)'!AX32-1,"")</f>
        <v>0.166520175789053</v>
      </c>
      <c r="AW32" s="12" t="n">
        <f aca="false">IFERROR('원자료(월별지수)'!AZ32/'원자료(월별지수)'!AY32-1,"")</f>
        <v>0.226316871018563</v>
      </c>
      <c r="AX32" s="12" t="n">
        <f aca="false">IFERROR('원자료(월별지수)'!BA32/'원자료(월별지수)'!AZ32-1,"")</f>
        <v>0.264704239512931</v>
      </c>
      <c r="AY32" s="12" t="n">
        <f aca="false">IFERROR('원자료(월별지수)'!BB32/'원자료(월별지수)'!BA32-1,"")</f>
        <v>0.14689515060507</v>
      </c>
      <c r="AZ32" s="12" t="n">
        <f aca="false">IFERROR('원자료(월별지수)'!BC32/'원자료(월별지수)'!BB32-1,"")</f>
        <v>0</v>
      </c>
      <c r="BA32" s="12" t="n">
        <f aca="false">IFERROR('원자료(월별지수)'!BD32/'원자료(월별지수)'!BC32-1,"")</f>
        <v>0</v>
      </c>
      <c r="BB32" s="12" t="n">
        <f aca="false">IFERROR('원자료(월별지수)'!BE32/'원자료(월별지수)'!BD32-1,"")</f>
        <v>0</v>
      </c>
      <c r="BC32" s="12" t="n">
        <f aca="false">IFERROR('원자료(월별지수)'!BF32/'원자료(월별지수)'!BE32-1,"")</f>
        <v>0</v>
      </c>
      <c r="BD32" s="12" t="n">
        <f aca="false">IFERROR('원자료(월별지수)'!BG32/'원자료(월별지수)'!BF32-1,"")</f>
        <v>0</v>
      </c>
      <c r="BE32" s="12" t="n">
        <f aca="false">IFERROR('원자료(월별지수)'!BH32/'원자료(월별지수)'!BG32-1,"")</f>
        <v>0</v>
      </c>
      <c r="BF32" s="12" t="n">
        <f aca="false">IFERROR('원자료(월별지수)'!BI32/'원자료(월별지수)'!BH32-1,"")</f>
        <v>0</v>
      </c>
      <c r="BG32" s="12" t="n">
        <f aca="false">IFERROR('원자료(월별지수)'!BJ32/'원자료(월별지수)'!BI32-1,"")</f>
        <v>-0.495340418977203</v>
      </c>
      <c r="BH32" s="12" t="n">
        <f aca="false">IFERROR('원자료(월별지수)'!BK32/'원자료(월별지수)'!BJ32-1,"")</f>
        <v>0.142617321632964</v>
      </c>
      <c r="BI32" s="12" t="n">
        <f aca="false">IFERROR('원자료(월별지수)'!BL32/'원자료(월별지수)'!BK32-1,"")</f>
        <v>0.128756511286229</v>
      </c>
      <c r="BJ32" s="12" t="n">
        <f aca="false">IFERROR('원자료(월별지수)'!BM32/'원자료(월별지수)'!BL32-1,"")</f>
        <v>-0.0281031830552597</v>
      </c>
      <c r="BK32" s="12" t="n">
        <f aca="false">IFERROR('원자료(월별지수)'!BN32/'원자료(월별지수)'!BM32-1,"")</f>
        <v>0.0301333170998965</v>
      </c>
      <c r="BL32" s="12" t="n">
        <f aca="false">IFERROR('원자료(월별지수)'!BO32/'원자료(월별지수)'!BN32-1,"")</f>
        <v>0</v>
      </c>
      <c r="BM32" s="12" t="n">
        <f aca="false">IFERROR('원자료(월별지수)'!BP32/'원자료(월별지수)'!BO32-1,"")</f>
        <v>0</v>
      </c>
      <c r="BN32" s="12" t="n">
        <f aca="false">IFERROR('원자료(월별지수)'!BQ32/'원자료(월별지수)'!BP32-1,"")</f>
        <v>0</v>
      </c>
    </row>
    <row r="33" customFormat="false" ht="15" hidden="false" customHeight="false" outlineLevel="0" collapsed="false">
      <c r="A33" s="8" t="s">
        <v>117</v>
      </c>
      <c r="B33" s="9" t="s">
        <v>123</v>
      </c>
      <c r="C33" s="12" t="n">
        <f aca="false">IFERROR('원자료(월별지수)'!F33/'원자료(월별지수)'!E33-1,"")</f>
        <v>0.165072158261715</v>
      </c>
      <c r="D33" s="12" t="n">
        <f aca="false">IFERROR('원자료(월별지수)'!G33/'원자료(월별지수)'!F33-1,"")</f>
        <v>0</v>
      </c>
      <c r="E33" s="12" t="n">
        <f aca="false">IFERROR('원자료(월별지수)'!H33/'원자료(월별지수)'!G33-1,"")</f>
        <v>0</v>
      </c>
      <c r="F33" s="12" t="n">
        <f aca="false">IFERROR('원자료(월별지수)'!I33/'원자료(월별지수)'!H33-1,"")</f>
        <v>0</v>
      </c>
      <c r="G33" s="12" t="n">
        <f aca="false">IFERROR('원자료(월별지수)'!J33/'원자료(월별지수)'!I33-1,"")</f>
        <v>0</v>
      </c>
      <c r="H33" s="12" t="n">
        <f aca="false">IFERROR('원자료(월별지수)'!K33/'원자료(월별지수)'!J33-1,"")</f>
        <v>0</v>
      </c>
      <c r="I33" s="12" t="n">
        <f aca="false">IFERROR('원자료(월별지수)'!L33/'원자료(월별지수)'!K33-1,"")</f>
        <v>0</v>
      </c>
      <c r="J33" s="12" t="n">
        <f aca="false">IFERROR('원자료(월별지수)'!M33/'원자료(월별지수)'!L33-1,"")</f>
        <v>0</v>
      </c>
      <c r="K33" s="12" t="n">
        <f aca="false">IFERROR('원자료(월별지수)'!N33/'원자료(월별지수)'!M33-1,"")</f>
        <v>-0.389352818371608</v>
      </c>
      <c r="L33" s="12" t="n">
        <f aca="false">IFERROR('원자료(월별지수)'!O33/'원자료(월별지수)'!N33-1,"")</f>
        <v>0.0949287749287748</v>
      </c>
      <c r="M33" s="12" t="n">
        <f aca="false">IFERROR('원자료(월별지수)'!P33/'원자료(월별지수)'!O33-1,"")</f>
        <v>0.234388009991674</v>
      </c>
      <c r="N33" s="12" t="n">
        <f aca="false">IFERROR('원자료(월별지수)'!Q33/'원자료(월별지수)'!P33-1,"")</f>
        <v>0.0729342327150084</v>
      </c>
      <c r="O33" s="12" t="n">
        <f aca="false">IFERROR('원자료(월별지수)'!R33/'원자료(월별지수)'!Q33-1,"")</f>
        <v>0.0477013752455795</v>
      </c>
      <c r="P33" s="12" t="n">
        <f aca="false">IFERROR('원자료(월별지수)'!S33/'원자료(월별지수)'!R33-1,"")</f>
        <v>0.156840684068407</v>
      </c>
      <c r="Q33" s="12" t="n">
        <f aca="false">IFERROR('원자료(월별지수)'!T33/'원자료(월별지수)'!S33-1,"")</f>
        <v>0</v>
      </c>
      <c r="R33" s="12" t="n">
        <f aca="false">IFERROR('원자료(월별지수)'!U33/'원자료(월별지수)'!T33-1,"")</f>
        <v>0</v>
      </c>
      <c r="S33" s="12" t="n">
        <f aca="false">IFERROR('원자료(월별지수)'!V33/'원자료(월별지수)'!U33-1,"")</f>
        <v>0</v>
      </c>
      <c r="T33" s="12" t="n">
        <f aca="false">IFERROR('원자료(월별지수)'!W33/'원자료(월별지수)'!V33-1,"")</f>
        <v>0</v>
      </c>
      <c r="U33" s="12" t="n">
        <f aca="false">IFERROR('원자료(월별지수)'!X33/'원자료(월별지수)'!W33-1,"")</f>
        <v>0</v>
      </c>
      <c r="V33" s="12" t="n">
        <f aca="false">IFERROR('원자료(월별지수)'!Y33/'원자료(월별지수)'!X33-1,"")</f>
        <v>0</v>
      </c>
      <c r="W33" s="12" t="n">
        <f aca="false">IFERROR('원자료(월별지수)'!Z33/'원자료(월별지수)'!Y33-1,"")</f>
        <v>-0.396809959151916</v>
      </c>
      <c r="X33" s="12" t="n">
        <f aca="false">IFERROR('원자료(월별지수)'!AA33/'원자료(월별지수)'!Z33-1,"")</f>
        <v>-0.101580135440181</v>
      </c>
      <c r="Y33" s="12" t="n">
        <f aca="false">IFERROR('원자료(월별지수)'!AB33/'원자료(월별지수)'!AA33-1,"")</f>
        <v>0.149916247906198</v>
      </c>
      <c r="Z33" s="12" t="n">
        <f aca="false">IFERROR('원자료(월별지수)'!AC33/'원자료(월별지수)'!AB33-1,"")</f>
        <v>-0.00343356570596187</v>
      </c>
      <c r="AA33" s="12" t="n">
        <f aca="false">IFERROR('원자료(월별지수)'!AD33/'원자료(월별지수)'!AC33-1,"")</f>
        <v>-0.0416579661724785</v>
      </c>
      <c r="AB33" s="12" t="n">
        <f aca="false">IFERROR('원자료(월별지수)'!AE33/'원자료(월별지수)'!AD33-1,"")</f>
        <v>0</v>
      </c>
      <c r="AC33" s="12" t="n">
        <f aca="false">IFERROR('원자료(월별지수)'!AF33/'원자료(월별지수)'!AE33-1,"")</f>
        <v>0</v>
      </c>
      <c r="AD33" s="12" t="n">
        <f aca="false">IFERROR('원자료(월별지수)'!AG33/'원자료(월별지수)'!AF33-1,"")</f>
        <v>0</v>
      </c>
      <c r="AE33" s="12" t="n">
        <f aca="false">IFERROR('원자료(월별지수)'!AH33/'원자료(월별지수)'!AG33-1,"")</f>
        <v>0</v>
      </c>
      <c r="AF33" s="12" t="n">
        <f aca="false">IFERROR('원자료(월별지수)'!AI33/'원자료(월별지수)'!AH33-1,"")</f>
        <v>0</v>
      </c>
      <c r="AG33" s="12" t="n">
        <f aca="false">IFERROR('원자료(월별지수)'!AJ33/'원자료(월별지수)'!AI33-1,"")</f>
        <v>0</v>
      </c>
      <c r="AH33" s="12" t="n">
        <f aca="false">IFERROR('원자료(월별지수)'!AK33/'원자료(월별지수)'!AJ33-1,"")</f>
        <v>0</v>
      </c>
      <c r="AI33" s="12" t="n">
        <f aca="false">IFERROR('원자료(월별지수)'!AL33/'원자료(월별지수)'!AK33-1,"")</f>
        <v>0.333696481098159</v>
      </c>
      <c r="AJ33" s="12" t="n">
        <f aca="false">IFERROR('원자료(월별지수)'!AM33/'원자료(월별지수)'!AL33-1,"")</f>
        <v>-0.0253226596961281</v>
      </c>
      <c r="AK33" s="12" t="n">
        <f aca="false">IFERROR('원자료(월별지수)'!AN33/'원자료(월별지수)'!AM33-1,"")</f>
        <v>0.243965806235334</v>
      </c>
      <c r="AL33" s="12" t="n">
        <f aca="false">IFERROR('원자료(월별지수)'!AO33/'원자료(월별지수)'!AN33-1,"")</f>
        <v>0.0617125917941117</v>
      </c>
      <c r="AM33" s="12" t="n">
        <f aca="false">IFERROR('원자료(월별지수)'!AP33/'원자료(월별지수)'!AO33-1,"")</f>
        <v>0.138650929627514</v>
      </c>
      <c r="AN33" s="12" t="n">
        <f aca="false">IFERROR('원자료(월별지수)'!AQ33/'원자료(월별지수)'!AP33-1,"")</f>
        <v>0.0229045920641997</v>
      </c>
      <c r="AO33" s="12" t="n">
        <f aca="false">IFERROR('원자료(월별지수)'!AR33/'원자료(월별지수)'!AQ33-1,"")</f>
        <v>0</v>
      </c>
      <c r="AP33" s="12" t="n">
        <f aca="false">IFERROR('원자료(월별지수)'!AS33/'원자료(월별지수)'!AR33-1,"")</f>
        <v>0</v>
      </c>
      <c r="AQ33" s="12" t="n">
        <f aca="false">IFERROR('원자료(월별지수)'!AT33/'원자료(월별지수)'!AS33-1,"")</f>
        <v>0</v>
      </c>
      <c r="AR33" s="12" t="n">
        <f aca="false">IFERROR('원자료(월별지수)'!AU33/'원자료(월별지수)'!AT33-1,"")</f>
        <v>0</v>
      </c>
      <c r="AS33" s="12" t="n">
        <f aca="false">IFERROR('원자료(월별지수)'!AV33/'원자료(월별지수)'!AU33-1,"")</f>
        <v>0</v>
      </c>
      <c r="AT33" s="12" t="n">
        <f aca="false">IFERROR('원자료(월별지수)'!AW33/'원자료(월별지수)'!AV33-1,"")</f>
        <v>0</v>
      </c>
      <c r="AU33" s="12" t="n">
        <f aca="false">IFERROR('원자료(월별지수)'!AX33/'원자료(월별지수)'!AW33-1,"")</f>
        <v>-0.293707436665759</v>
      </c>
      <c r="AV33" s="12" t="n">
        <f aca="false">IFERROR('원자료(월별지수)'!AY33/'원자료(월별지수)'!AX33-1,"")</f>
        <v>-0.325208269052761</v>
      </c>
      <c r="AW33" s="12" t="n">
        <f aca="false">IFERROR('원자료(월별지수)'!AZ33/'원자료(월별지수)'!AY33-1,"")</f>
        <v>0.152949245541838</v>
      </c>
      <c r="AX33" s="12" t="n">
        <f aca="false">IFERROR('원자료(월별지수)'!BA33/'원자료(월별지수)'!AZ33-1,"")</f>
        <v>-0.0354947451913543</v>
      </c>
      <c r="AY33" s="12" t="n">
        <f aca="false">IFERROR('원자료(월별지수)'!BB33/'원자료(월별지수)'!BA33-1,"")</f>
        <v>0.188630756578947</v>
      </c>
      <c r="AZ33" s="12" t="n">
        <f aca="false">IFERROR('원자료(월별지수)'!BC33/'원자료(월별지수)'!BB33-1,"")</f>
        <v>0.114589639366946</v>
      </c>
      <c r="BA33" s="12" t="n">
        <f aca="false">IFERROR('원자료(월별지수)'!BD33/'원자료(월별지수)'!BC33-1,"")</f>
        <v>0</v>
      </c>
      <c r="BB33" s="12" t="n">
        <f aca="false">IFERROR('원자료(월별지수)'!BE33/'원자료(월별지수)'!BD33-1,"")</f>
        <v>0</v>
      </c>
      <c r="BC33" s="12" t="n">
        <f aca="false">IFERROR('원자료(월별지수)'!BF33/'원자료(월별지수)'!BE33-1,"")</f>
        <v>0</v>
      </c>
      <c r="BD33" s="12" t="n">
        <f aca="false">IFERROR('원자료(월별지수)'!BG33/'원자료(월별지수)'!BF33-1,"")</f>
        <v>0</v>
      </c>
      <c r="BE33" s="12" t="n">
        <f aca="false">IFERROR('원자료(월별지수)'!BH33/'원자료(월별지수)'!BG33-1,"")</f>
        <v>0</v>
      </c>
      <c r="BF33" s="12" t="n">
        <f aca="false">IFERROR('원자료(월별지수)'!BI33/'원자료(월별지수)'!BH33-1,"")</f>
        <v>0</v>
      </c>
      <c r="BG33" s="12" t="n">
        <f aca="false">IFERROR('원자료(월별지수)'!BJ33/'원자료(월별지수)'!BI33-1,"")</f>
        <v>-0.173572315332092</v>
      </c>
      <c r="BH33" s="12" t="n">
        <f aca="false">IFERROR('원자료(월별지수)'!BK33/'원자료(월별지수)'!BJ33-1,"")</f>
        <v>-0.238099708947517</v>
      </c>
      <c r="BI33" s="12" t="n">
        <f aca="false">IFERROR('원자료(월별지수)'!BL33/'원자료(월별지수)'!BK33-1,"")</f>
        <v>0.174245224892175</v>
      </c>
      <c r="BJ33" s="12" t="n">
        <f aca="false">IFERROR('원자료(월별지수)'!BM33/'원자료(월별지수)'!BL33-1,"")</f>
        <v>0</v>
      </c>
      <c r="BK33" s="12" t="n">
        <f aca="false">IFERROR('원자료(월별지수)'!BN33/'원자료(월별지수)'!BM33-1,"")</f>
        <v>0</v>
      </c>
      <c r="BL33" s="12" t="n">
        <f aca="false">IFERROR('원자료(월별지수)'!BO33/'원자료(월별지수)'!BN33-1,"")</f>
        <v>0</v>
      </c>
      <c r="BM33" s="12" t="n">
        <f aca="false">IFERROR('원자료(월별지수)'!BP33/'원자료(월별지수)'!BO33-1,"")</f>
        <v>0</v>
      </c>
      <c r="BN33" s="12" t="n">
        <f aca="false">IFERROR('원자료(월별지수)'!BQ33/'원자료(월별지수)'!BP33-1,"")</f>
        <v>0</v>
      </c>
    </row>
    <row r="34" customFormat="false" ht="15" hidden="false" customHeight="false" outlineLevel="0" collapsed="false">
      <c r="A34" s="8" t="s">
        <v>124</v>
      </c>
      <c r="B34" s="9" t="s">
        <v>125</v>
      </c>
      <c r="C34" s="12" t="n">
        <f aca="false">IFERROR('원자료(월별지수)'!F34/'원자료(월별지수)'!E34-1,"")</f>
        <v>-0.0480633305060786</v>
      </c>
      <c r="D34" s="12" t="n">
        <f aca="false">IFERROR('원자료(월별지수)'!G34/'원자료(월별지수)'!F34-1,"")</f>
        <v>0.00405900405900406</v>
      </c>
      <c r="E34" s="12" t="n">
        <f aca="false">IFERROR('원자료(월별지수)'!H34/'원자료(월별지수)'!G34-1,"")</f>
        <v>0.0244527706566753</v>
      </c>
      <c r="F34" s="12" t="n">
        <f aca="false">IFERROR('원자료(월별지수)'!I34/'원자료(월별지수)'!H34-1,"")</f>
        <v>-0.0212704523580366</v>
      </c>
      <c r="G34" s="12" t="n">
        <f aca="false">IFERROR('원자료(월별지수)'!J34/'원자료(월별지수)'!I34-1,"")</f>
        <v>0.0505457763791917</v>
      </c>
      <c r="H34" s="12" t="n">
        <f aca="false">IFERROR('원자료(월별지수)'!K34/'원자료(월별지수)'!J34-1,"")</f>
        <v>-0.0303285593934287</v>
      </c>
      <c r="I34" s="12" t="n">
        <f aca="false">IFERROR('원자료(월별지수)'!L34/'원자료(월별지수)'!K34-1,"")</f>
        <v>0.0466261222125688</v>
      </c>
      <c r="J34" s="12" t="n">
        <f aca="false">IFERROR('원자료(월별지수)'!M34/'원자료(월별지수)'!L34-1,"")</f>
        <v>0.063918096292197</v>
      </c>
      <c r="K34" s="12" t="n">
        <f aca="false">IFERROR('원자료(월별지수)'!N34/'원자료(월별지수)'!M34-1,"")</f>
        <v>-0.0711746857390549</v>
      </c>
      <c r="L34" s="12" t="n">
        <f aca="false">IFERROR('원자료(월별지수)'!O34/'원자료(월별지수)'!N34-1,"")</f>
        <v>-0.0230539481052828</v>
      </c>
      <c r="M34" s="12" t="n">
        <f aca="false">IFERROR('원자료(월별지수)'!P34/'원자료(월별지수)'!O34-1,"")</f>
        <v>-0.00601891659501286</v>
      </c>
      <c r="N34" s="12" t="n">
        <f aca="false">IFERROR('원자료(월별지수)'!Q34/'원자료(월별지수)'!P34-1,"")</f>
        <v>-0.0147058823529412</v>
      </c>
      <c r="O34" s="12" t="n">
        <f aca="false">IFERROR('원자료(월별지수)'!R34/'원자료(월별지수)'!Q34-1,"")</f>
        <v>-0.0756999317139792</v>
      </c>
      <c r="P34" s="12" t="n">
        <f aca="false">IFERROR('원자료(월별지수)'!S34/'원자료(월별지수)'!R34-1,"")</f>
        <v>0.0339841688654354</v>
      </c>
      <c r="Q34" s="12" t="n">
        <f aca="false">IFERROR('원자료(월별지수)'!T34/'원자료(월별지수)'!S34-1,"")</f>
        <v>-0.0221496376441768</v>
      </c>
      <c r="R34" s="12" t="n">
        <f aca="false">IFERROR('원자료(월별지수)'!U34/'원자료(월별지수)'!T34-1,"")</f>
        <v>0.00219206680584549</v>
      </c>
      <c r="S34" s="12" t="n">
        <f aca="false">IFERROR('원자료(월별지수)'!V34/'원자료(월별지수)'!U34-1,"")</f>
        <v>0.0185397354442245</v>
      </c>
      <c r="T34" s="12" t="n">
        <f aca="false">IFERROR('원자료(월별지수)'!W34/'원자료(월별지수)'!V34-1,"")</f>
        <v>-0.0458124552612742</v>
      </c>
      <c r="U34" s="12" t="n">
        <f aca="false">IFERROR('원자료(월별지수)'!X34/'원자료(월별지수)'!W34-1,"")</f>
        <v>0.0603365126996034</v>
      </c>
      <c r="V34" s="12" t="n">
        <f aca="false">IFERROR('원자료(월별지수)'!Y34/'원자료(월별지수)'!X34-1,"")</f>
        <v>0.00950070749949461</v>
      </c>
      <c r="W34" s="12" t="n">
        <f aca="false">IFERROR('원자료(월별지수)'!Z34/'원자료(월별지수)'!Y34-1,"")</f>
        <v>-0.0856027232679215</v>
      </c>
      <c r="X34" s="12" t="n">
        <f aca="false">IFERROR('원자료(월별지수)'!AA34/'원자료(월별지수)'!Z34-1,"")</f>
        <v>-0.0347092959597066</v>
      </c>
      <c r="Y34" s="12" t="n">
        <f aca="false">IFERROR('원자료(월별지수)'!AB34/'원자료(월별지수)'!AA34-1,"")</f>
        <v>-0.0828039927404718</v>
      </c>
      <c r="Z34" s="12" t="n">
        <f aca="false">IFERROR('원자료(월별지수)'!AC34/'원자료(월별지수)'!AB34-1,"")</f>
        <v>-0.0337620578778135</v>
      </c>
      <c r="AA34" s="12" t="n">
        <f aca="false">IFERROR('원자료(월별지수)'!AD34/'원자료(월별지수)'!AC34-1,"")</f>
        <v>0.0212466402150264</v>
      </c>
      <c r="AB34" s="12" t="n">
        <f aca="false">IFERROR('원자료(월별지수)'!AE34/'원자료(월별지수)'!AD34-1,"")</f>
        <v>-0.0116555959393408</v>
      </c>
      <c r="AC34" s="12" t="n">
        <f aca="false">IFERROR('원자료(월별지수)'!AF34/'원자료(월별지수)'!AE34-1,"")</f>
        <v>-0.0361399949277199</v>
      </c>
      <c r="AD34" s="12" t="n">
        <f aca="false">IFERROR('원자료(월별지수)'!AG34/'원자료(월별지수)'!AF34-1,"")</f>
        <v>-0.0138139718458099</v>
      </c>
      <c r="AE34" s="12" t="n">
        <f aca="false">IFERROR('원자료(월별지수)'!AH34/'원자료(월별지수)'!AG34-1,"")</f>
        <v>0.00907150480256136</v>
      </c>
      <c r="AF34" s="12" t="n">
        <f aca="false">IFERROR('원자료(월별지수)'!AI34/'원자료(월별지수)'!AH34-1,"")</f>
        <v>0.00237969328397658</v>
      </c>
      <c r="AG34" s="12" t="n">
        <f aca="false">IFERROR('원자료(월별지수)'!AJ34/'원자료(월별지수)'!AI34-1,"")</f>
        <v>0.101688208915854</v>
      </c>
      <c r="AH34" s="12" t="n">
        <f aca="false">IFERROR('원자료(월별지수)'!AK34/'원자료(월별지수)'!AJ34-1,"")</f>
        <v>0.124147013049204</v>
      </c>
      <c r="AI34" s="12" t="n">
        <f aca="false">IFERROR('원자료(월별지수)'!AL34/'원자료(월별지수)'!AK34-1,"")</f>
        <v>-0.0656017039403622</v>
      </c>
      <c r="AJ34" s="12" t="n">
        <f aca="false">IFERROR('원자료(월별지수)'!AM34/'원자료(월별지수)'!AL34-1,"")</f>
        <v>-0.000113973102347731</v>
      </c>
      <c r="AK34" s="12" t="n">
        <f aca="false">IFERROR('원자료(월별지수)'!AN34/'원자료(월별지수)'!AM34-1,"")</f>
        <v>-0.0604126296591816</v>
      </c>
      <c r="AL34" s="12" t="n">
        <f aca="false">IFERROR('원자료(월별지수)'!AO34/'원자료(월별지수)'!AN34-1,"")</f>
        <v>0.0236564357636782</v>
      </c>
      <c r="AM34" s="12" t="n">
        <f aca="false">IFERROR('원자료(월별지수)'!AP34/'원자료(월별지수)'!AO34-1,"")</f>
        <v>-0.0266650865133918</v>
      </c>
      <c r="AN34" s="12" t="n">
        <f aca="false">IFERROR('원자료(월별지수)'!AQ34/'원자료(월별지수)'!AP34-1,"")</f>
        <v>-0.0594179958602216</v>
      </c>
      <c r="AO34" s="12" t="n">
        <f aca="false">IFERROR('원자료(월별지수)'!AR34/'원자료(월별지수)'!AQ34-1,"")</f>
        <v>-0.00388349514563102</v>
      </c>
      <c r="AP34" s="12" t="n">
        <f aca="false">IFERROR('원자료(월별지수)'!AS34/'원자료(월별지수)'!AR34-1,"")</f>
        <v>-0.0300194931773879</v>
      </c>
      <c r="AQ34" s="12" t="n">
        <f aca="false">IFERROR('원자료(월별지수)'!AT34/'원자료(월별지수)'!AS34-1,"")</f>
        <v>-0.0288049303322616</v>
      </c>
      <c r="AR34" s="12" t="n">
        <f aca="false">IFERROR('원자료(월별지수)'!AU34/'원자료(월별지수)'!AT34-1,"")</f>
        <v>0.0360049662022348</v>
      </c>
      <c r="AS34" s="12" t="n">
        <f aca="false">IFERROR('원자료(월별지수)'!AV34/'원자료(월별지수)'!AU34-1,"")</f>
        <v>0.111051930758988</v>
      </c>
      <c r="AT34" s="12" t="n">
        <f aca="false">IFERROR('원자료(월별지수)'!AW34/'원자료(월별지수)'!AV34-1,"")</f>
        <v>0.112176414189837</v>
      </c>
      <c r="AU34" s="12" t="n">
        <f aca="false">IFERROR('원자료(월별지수)'!AX34/'원자료(월별지수)'!AW34-1,"")</f>
        <v>-0.056896551724138</v>
      </c>
      <c r="AV34" s="12" t="n">
        <f aca="false">IFERROR('원자료(월별지수)'!AY34/'원자료(월별지수)'!AX34-1,"")</f>
        <v>-0.0138254113345521</v>
      </c>
      <c r="AW34" s="12" t="n">
        <f aca="false">IFERROR('원자료(월별지수)'!AZ34/'원자료(월별지수)'!AY34-1,"")</f>
        <v>0.040899084694705</v>
      </c>
      <c r="AX34" s="12" t="n">
        <f aca="false">IFERROR('원자료(월별지수)'!BA34/'원자료(월별지수)'!AZ34-1,"")</f>
        <v>0.0132457702582369</v>
      </c>
      <c r="AY34" s="12" t="n">
        <f aca="false">IFERROR('원자료(월별지수)'!BB34/'원자료(월별지수)'!BA34-1,"")</f>
        <v>-0.0398769636383609</v>
      </c>
      <c r="AZ34" s="12" t="n">
        <f aca="false">IFERROR('원자료(월별지수)'!BC34/'원자료(월별지수)'!BB34-1,"")</f>
        <v>-0.0338672768878719</v>
      </c>
      <c r="BA34" s="12" t="n">
        <f aca="false">IFERROR('원자료(월별지수)'!BD34/'원자료(월별지수)'!BC34-1,"")</f>
        <v>0.0151586925627665</v>
      </c>
      <c r="BB34" s="12" t="n">
        <f aca="false">IFERROR('원자료(월별지수)'!BE34/'원자료(월별지수)'!BD34-1,"")</f>
        <v>-0.0120158656089594</v>
      </c>
      <c r="BC34" s="12" t="n">
        <f aca="false">IFERROR('원자료(월별지수)'!BF34/'원자료(월별지수)'!BE34-1,"")</f>
        <v>-0.00153501003660406</v>
      </c>
      <c r="BD34" s="12" t="n">
        <f aca="false">IFERROR('원자료(월별지수)'!BG34/'원자료(월별지수)'!BF34-1,"")</f>
        <v>0.0652790917691579</v>
      </c>
      <c r="BE34" s="12" t="n">
        <f aca="false">IFERROR('원자료(월별지수)'!BH34/'원자료(월별지수)'!BG34-1,"")</f>
        <v>0.0587255772646538</v>
      </c>
      <c r="BF34" s="12" t="n">
        <f aca="false">IFERROR('원자료(월별지수)'!BI34/'원자료(월별지수)'!BH34-1,"")</f>
        <v>0.0686798783684597</v>
      </c>
      <c r="BG34" s="12" t="n">
        <f aca="false">IFERROR('원자료(월별지수)'!BJ34/'원자료(월별지수)'!BI34-1,"")</f>
        <v>0.0165816326530612</v>
      </c>
      <c r="BH34" s="12" t="n">
        <f aca="false">IFERROR('원자료(월별지수)'!BK34/'원자료(월별지수)'!BJ34-1,"")</f>
        <v>-0.04603802721745</v>
      </c>
      <c r="BI34" s="12" t="n">
        <f aca="false">IFERROR('원자료(월별지수)'!BL34/'원자료(월별지수)'!BK34-1,"")</f>
        <v>0.0133549170376366</v>
      </c>
      <c r="BJ34" s="12" t="n">
        <f aca="false">IFERROR('원자료(월별지수)'!BM34/'원자료(월별지수)'!BL34-1,"")</f>
        <v>0.0675918530351438</v>
      </c>
      <c r="BK34" s="12" t="n">
        <f aca="false">IFERROR('원자료(월별지수)'!BN34/'원자료(월별지수)'!BM34-1,"")</f>
        <v>0.00570466660432056</v>
      </c>
      <c r="BL34" s="12" t="n">
        <f aca="false">IFERROR('원자료(월별지수)'!BO34/'원자료(월별지수)'!BN34-1,"")</f>
        <v>-0.0490050213873908</v>
      </c>
      <c r="BM34" s="12" t="n">
        <f aca="false">IFERROR('원자료(월별지수)'!BP34/'원자료(월별지수)'!BO34-1,"")</f>
        <v>-0.0338320132981323</v>
      </c>
      <c r="BN34" s="12" t="n">
        <f aca="false">IFERROR('원자료(월별지수)'!BQ34/'원자료(월별지수)'!BP34-1,"")</f>
        <v>0.0215565226191681</v>
      </c>
    </row>
    <row r="35" customFormat="false" ht="15" hidden="false" customHeight="false" outlineLevel="0" collapsed="false">
      <c r="A35" s="8" t="s">
        <v>124</v>
      </c>
      <c r="B35" s="9" t="s">
        <v>126</v>
      </c>
      <c r="C35" s="12" t="n">
        <f aca="false">IFERROR('원자료(월별지수)'!F35/'원자료(월별지수)'!E35-1,"")</f>
        <v>-0.0255842285967438</v>
      </c>
      <c r="D35" s="12" t="n">
        <f aca="false">IFERROR('원자료(월별지수)'!G35/'원자료(월별지수)'!F35-1,"")</f>
        <v>0.118663332575585</v>
      </c>
      <c r="E35" s="12" t="n">
        <f aca="false">IFERROR('원자료(월별지수)'!H35/'원자료(월별지수)'!G35-1,"")</f>
        <v>0.149766307661044</v>
      </c>
      <c r="F35" s="12" t="n">
        <f aca="false">IFERROR('원자료(월별지수)'!I35/'원자료(월별지수)'!H35-1,"")</f>
        <v>0.0552315305761753</v>
      </c>
      <c r="G35" s="12" t="n">
        <f aca="false">IFERROR('원자료(월별지수)'!J35/'원자료(월별지수)'!I35-1,"")</f>
        <v>0.0711833179800687</v>
      </c>
      <c r="H35" s="12" t="n">
        <f aca="false">IFERROR('원자료(월별지수)'!K35/'원자료(월별지수)'!J35-1,"")</f>
        <v>-0.010867015870534</v>
      </c>
      <c r="I35" s="12" t="n">
        <f aca="false">IFERROR('원자료(월별지수)'!L35/'원자료(월별지수)'!K35-1,"")</f>
        <v>0.0291653493518813</v>
      </c>
      <c r="J35" s="12" t="n">
        <f aca="false">IFERROR('원자료(월별지수)'!M35/'원자료(월별지수)'!L35-1,"")</f>
        <v>0.0404730819445509</v>
      </c>
      <c r="K35" s="12" t="n">
        <f aca="false">IFERROR('원자료(월별지수)'!N35/'원자료(월별지수)'!M35-1,"")</f>
        <v>-0.148656628284618</v>
      </c>
      <c r="L35" s="12" t="n">
        <f aca="false">IFERROR('원자료(월별지수)'!O35/'원자료(월별지수)'!N35-1,"")</f>
        <v>0.135338997745795</v>
      </c>
      <c r="M35" s="12" t="n">
        <f aca="false">IFERROR('원자료(월별지수)'!P35/'원자료(월별지수)'!O35-1,"")</f>
        <v>-0.052004581901489</v>
      </c>
      <c r="N35" s="12" t="n">
        <f aca="false">IFERROR('원자료(월별지수)'!Q35/'원자료(월별지수)'!P35-1,"")</f>
        <v>-0.0953761881746416</v>
      </c>
      <c r="O35" s="12" t="n">
        <f aca="false">IFERROR('원자료(월별지수)'!R35/'원자료(월별지수)'!Q35-1,"")</f>
        <v>-0.0847729296527159</v>
      </c>
      <c r="P35" s="12" t="n">
        <f aca="false">IFERROR('원자료(월별지수)'!S35/'원자료(월별지수)'!R35-1,"")</f>
        <v>0.00369721735746253</v>
      </c>
      <c r="Q35" s="12" t="n">
        <f aca="false">IFERROR('원자료(월별지수)'!T35/'원자료(월별지수)'!S35-1,"")</f>
        <v>0.281504459092671</v>
      </c>
      <c r="R35" s="12" t="n">
        <f aca="false">IFERROR('원자료(월별지수)'!U35/'원자료(월별지수)'!T35-1,"")</f>
        <v>0.217927382753404</v>
      </c>
      <c r="S35" s="12" t="n">
        <f aca="false">IFERROR('원자료(월별지수)'!V35/'원자료(월별지수)'!U35-1,"")</f>
        <v>-0.053040183839513</v>
      </c>
      <c r="T35" s="12" t="n">
        <f aca="false">IFERROR('원자료(월별지수)'!W35/'원자료(월별지수)'!V35-1,"")</f>
        <v>-0.0539778317045976</v>
      </c>
      <c r="U35" s="12" t="n">
        <f aca="false">IFERROR('원자료(월별지수)'!X35/'원자료(월별지수)'!W35-1,"")</f>
        <v>0.0773710482529117</v>
      </c>
      <c r="V35" s="12" t="n">
        <f aca="false">IFERROR('원자료(월별지수)'!Y35/'원자료(월별지수)'!X35-1,"")</f>
        <v>-0.0420205920205921</v>
      </c>
      <c r="W35" s="12" t="n">
        <f aca="false">IFERROR('원자료(월별지수)'!Z35/'원자료(월별지수)'!Y35-1,"")</f>
        <v>-0.106334385705649</v>
      </c>
      <c r="X35" s="12" t="n">
        <f aca="false">IFERROR('원자료(월별지수)'!AA35/'원자료(월별지수)'!Z35-1,"")</f>
        <v>-0.055847865303668</v>
      </c>
      <c r="Y35" s="12" t="n">
        <f aca="false">IFERROR('원자료(월별지수)'!AB35/'원자료(월별지수)'!AA35-1,"")</f>
        <v>0.021017434917602</v>
      </c>
      <c r="Z35" s="12" t="n">
        <f aca="false">IFERROR('원자료(월별지수)'!AC35/'원자료(월별지수)'!AB35-1,"")</f>
        <v>-0.0877972709551658</v>
      </c>
      <c r="AA35" s="12" t="n">
        <f aca="false">IFERROR('원자료(월별지수)'!AD35/'원자료(월별지수)'!AC35-1,"")</f>
        <v>-0.0969313616548422</v>
      </c>
      <c r="AB35" s="12" t="n">
        <f aca="false">IFERROR('원자료(월별지수)'!AE35/'원자료(월별지수)'!AD35-1,"")</f>
        <v>0.0879318504495976</v>
      </c>
      <c r="AC35" s="12" t="n">
        <f aca="false">IFERROR('원자료(월별지수)'!AF35/'원자료(월별지수)'!AE35-1,"")</f>
        <v>0.0742126326779189</v>
      </c>
      <c r="AD35" s="12" t="n">
        <f aca="false">IFERROR('원자료(월별지수)'!AG35/'원자료(월별지수)'!AF35-1,"")</f>
        <v>0.0604195351097434</v>
      </c>
      <c r="AE35" s="12" t="n">
        <f aca="false">IFERROR('원자료(월별지수)'!AH35/'원자료(월별지수)'!AG35-1,"")</f>
        <v>-0.00695027877491783</v>
      </c>
      <c r="AF35" s="12" t="n">
        <f aca="false">IFERROR('원자료(월별지수)'!AI35/'원자료(월별지수)'!AH35-1,"")</f>
        <v>0.0109213967081987</v>
      </c>
      <c r="AG35" s="12" t="n">
        <f aca="false">IFERROR('원자료(월별지수)'!AJ35/'원자료(월별지수)'!AI35-1,"")</f>
        <v>0.0160529519172248</v>
      </c>
      <c r="AH35" s="12" t="n">
        <f aca="false">IFERROR('원자료(월별지수)'!AK35/'원자료(월별지수)'!AJ35-1,"")</f>
        <v>0.0598277798577311</v>
      </c>
      <c r="AI35" s="12" t="n">
        <f aca="false">IFERROR('원자료(월별지수)'!AL35/'원자료(월별지수)'!AK35-1,"")</f>
        <v>-0.136498516320475</v>
      </c>
      <c r="AJ35" s="12" t="n">
        <f aca="false">IFERROR('원자료(월별지수)'!AM35/'원자료(월별지수)'!AL35-1,"")</f>
        <v>-0.0375552282768777</v>
      </c>
      <c r="AK35" s="12" t="n">
        <f aca="false">IFERROR('원자료(월별지수)'!AN35/'원자료(월별지수)'!AM35-1,"")</f>
        <v>-0.0398707812632831</v>
      </c>
      <c r="AL35" s="12" t="n">
        <f aca="false">IFERROR('원자료(월별지수)'!AO35/'원자료(월별지수)'!AN35-1,"")</f>
        <v>-0.0398441650433858</v>
      </c>
      <c r="AM35" s="12" t="n">
        <f aca="false">IFERROR('원자료(월별지수)'!AP35/'원자료(월별지수)'!AO35-1,"")</f>
        <v>-0.0939690151235706</v>
      </c>
      <c r="AN35" s="12" t="n">
        <f aca="false">IFERROR('원자료(월별지수)'!AQ35/'원자료(월별지수)'!AP35-1,"")</f>
        <v>0.119185750636132</v>
      </c>
      <c r="AO35" s="12" t="n">
        <f aca="false">IFERROR('원자료(월별지수)'!AR35/'원자료(월별지수)'!AQ35-1,"")</f>
        <v>0.0528373954165151</v>
      </c>
      <c r="AP35" s="12" t="n">
        <f aca="false">IFERROR('원자료(월별지수)'!AS35/'원자료(월별지수)'!AR35-1,"")</f>
        <v>0.0257406927528721</v>
      </c>
      <c r="AQ35" s="12" t="n">
        <f aca="false">IFERROR('원자료(월별지수)'!AT35/'원자료(월별지수)'!AS35-1,"")</f>
        <v>0.124463157894737</v>
      </c>
      <c r="AR35" s="12" t="n">
        <f aca="false">IFERROR('원자료(월별지수)'!AU35/'원자료(월별지수)'!AT35-1,"")</f>
        <v>-0.0236650939863701</v>
      </c>
      <c r="AS35" s="12" t="n">
        <f aca="false">IFERROR('원자료(월별지수)'!AV35/'원자료(월별지수)'!AU35-1,"")</f>
        <v>0.0552274296233795</v>
      </c>
      <c r="AT35" s="12" t="n">
        <f aca="false">IFERROR('원자료(월별지수)'!AW35/'원자료(월별지수)'!AV35-1,"")</f>
        <v>0.161445082503453</v>
      </c>
      <c r="AU35" s="12" t="n">
        <f aca="false">IFERROR('원자료(월별지수)'!AX35/'원자료(월별지수)'!AW35-1,"")</f>
        <v>-0.167167355113281</v>
      </c>
      <c r="AV35" s="12" t="n">
        <f aca="false">IFERROR('원자료(월별지수)'!AY35/'원자료(월별지수)'!AX35-1,"")</f>
        <v>-0.0413316299691892</v>
      </c>
      <c r="AW35" s="12" t="n">
        <f aca="false">IFERROR('원자료(월별지수)'!AZ35/'원자료(월별지수)'!AY35-1,"")</f>
        <v>0.00297875676099402</v>
      </c>
      <c r="AX35" s="12" t="n">
        <f aca="false">IFERROR('원자료(월별지수)'!BA35/'원자료(월별지수)'!AZ35-1,"")</f>
        <v>-0.0504103165298945</v>
      </c>
      <c r="AY35" s="12" t="n">
        <f aca="false">IFERROR('원자료(월별지수)'!BB35/'원자료(월별지수)'!BA35-1,"")</f>
        <v>-0.0751440329218107</v>
      </c>
      <c r="AZ35" s="12" t="n">
        <f aca="false">IFERROR('원자료(월별지수)'!BC35/'원자료(월별지수)'!BB35-1,"")</f>
        <v>0.0605143721633887</v>
      </c>
      <c r="BA35" s="12" t="n">
        <f aca="false">IFERROR('원자료(월별지수)'!BD35/'원자료(월별지수)'!BC35-1,"")</f>
        <v>0.0821515482084418</v>
      </c>
      <c r="BB35" s="12" t="n">
        <f aca="false">IFERROR('원자료(월별지수)'!BE35/'원자료(월별지수)'!BD35-1,"")</f>
        <v>0.0216346153846154</v>
      </c>
      <c r="BC35" s="12" t="n">
        <f aca="false">IFERROR('원자료(월별지수)'!BF35/'원자료(월별지수)'!BE35-1,"")</f>
        <v>0.0954838709677421</v>
      </c>
      <c r="BD35" s="12" t="n">
        <f aca="false">IFERROR('원자료(월별지수)'!BG35/'원자료(월별지수)'!BF35-1,"")</f>
        <v>0.0422642555255317</v>
      </c>
      <c r="BE35" s="12" t="n">
        <f aca="false">IFERROR('원자료(월별지수)'!BH35/'원자료(월별지수)'!BG35-1,"")</f>
        <v>0.0476633650202751</v>
      </c>
      <c r="BF35" s="12" t="n">
        <f aca="false">IFERROR('원자료(월별지수)'!BI35/'원자료(월별지수)'!BH35-1,"")</f>
        <v>0.0326776649746194</v>
      </c>
      <c r="BG35" s="12" t="n">
        <f aca="false">IFERROR('원자료(월별지수)'!BJ35/'원자료(월별지수)'!BI35-1,"")</f>
        <v>-0.142427035330261</v>
      </c>
      <c r="BH35" s="12" t="n">
        <f aca="false">IFERROR('원자료(월별지수)'!BK35/'원자료(월별지수)'!BJ35-1,"")</f>
        <v>-0.0410546679085763</v>
      </c>
      <c r="BI35" s="12" t="n">
        <f aca="false">IFERROR('원자료(월별지수)'!BL35/'원자료(월별지수)'!BK35-1,"")</f>
        <v>-0.00358637178720855</v>
      </c>
      <c r="BJ35" s="12" t="n">
        <f aca="false">IFERROR('원자료(월별지수)'!BM35/'원자료(월별지수)'!BL35-1,"")</f>
        <v>-0.0417666466706659</v>
      </c>
      <c r="BK35" s="12" t="n">
        <f aca="false">IFERROR('원자료(월별지수)'!BN35/'원자료(월별지수)'!BM35-1,"")</f>
        <v>0.0283277251741136</v>
      </c>
      <c r="BL35" s="12" t="n">
        <f aca="false">IFERROR('원자료(월별지수)'!BO35/'원자료(월별지수)'!BN35-1,"")</f>
        <v>-0.0442127691956472</v>
      </c>
      <c r="BM35" s="12" t="n">
        <f aca="false">IFERROR('원자료(월별지수)'!BP35/'원자료(월별지수)'!BO35-1,"")</f>
        <v>0.13328025477707</v>
      </c>
      <c r="BN35" s="12" t="n">
        <f aca="false">IFERROR('원자료(월별지수)'!BQ35/'원자료(월별지수)'!BP35-1,"")</f>
        <v>0.0164395110299285</v>
      </c>
    </row>
    <row r="36" customFormat="false" ht="15" hidden="false" customHeight="false" outlineLevel="0" collapsed="false">
      <c r="A36" s="8" t="s">
        <v>124</v>
      </c>
      <c r="B36" s="9" t="s">
        <v>127</v>
      </c>
      <c r="C36" s="12" t="n">
        <f aca="false">IFERROR('원자료(월별지수)'!F36/'원자료(월별지수)'!E36-1,"")</f>
        <v>0.0616226504877468</v>
      </c>
      <c r="D36" s="12" t="n">
        <f aca="false">IFERROR('원자료(월별지수)'!G36/'원자료(월별지수)'!F36-1,"")</f>
        <v>-0.0723143582847752</v>
      </c>
      <c r="E36" s="12" t="n">
        <f aca="false">IFERROR('원자료(월별지수)'!H36/'원자료(월별지수)'!G36-1,"")</f>
        <v>-0.00748912868416818</v>
      </c>
      <c r="F36" s="12" t="n">
        <f aca="false">IFERROR('원자료(월별지수)'!I36/'원자료(월별지수)'!H36-1,"")</f>
        <v>-0.00900608519269774</v>
      </c>
      <c r="G36" s="12" t="n">
        <f aca="false">IFERROR('원자료(월별지수)'!J36/'원자료(월별지수)'!I36-1,"")</f>
        <v>-0.0363517275257901</v>
      </c>
      <c r="H36" s="12" t="n">
        <f aca="false">IFERROR('원자료(월별지수)'!K36/'원자료(월별지수)'!J36-1,"")</f>
        <v>0.18411214953271</v>
      </c>
      <c r="I36" s="12" t="n">
        <f aca="false">IFERROR('원자료(월별지수)'!L36/'원자료(월별지수)'!K36-1,"")</f>
        <v>-0.0226017076845807</v>
      </c>
      <c r="J36" s="12" t="n">
        <f aca="false">IFERROR('원자료(월별지수)'!M36/'원자료(월별지수)'!L36-1,"")</f>
        <v>-0.0760534429599178</v>
      </c>
      <c r="K36" s="12" t="n">
        <f aca="false">IFERROR('원자료(월별지수)'!N36/'원자료(월별지수)'!M36-1,"")</f>
        <v>0.128158271094867</v>
      </c>
      <c r="L36" s="12" t="n">
        <f aca="false">IFERROR('원자료(월별지수)'!O36/'원자료(월별지수)'!N36-1,"")</f>
        <v>-0.116275794070005</v>
      </c>
      <c r="M36" s="12" t="n">
        <f aca="false">IFERROR('원자료(월별지수)'!P36/'원자료(월별지수)'!O36-1,"")</f>
        <v>0.060487727127829</v>
      </c>
      <c r="N36" s="12" t="n">
        <f aca="false">IFERROR('원자료(월별지수)'!Q36/'원자료(월별지수)'!P36-1,"")</f>
        <v>0.092507702712858</v>
      </c>
      <c r="O36" s="12" t="n">
        <f aca="false">IFERROR('원자료(월별지수)'!R36/'원자료(월별지수)'!Q36-1,"")</f>
        <v>0.0320539276379144</v>
      </c>
      <c r="P36" s="12" t="n">
        <f aca="false">IFERROR('원자료(월별지수)'!S36/'원자료(월별지수)'!R36-1,"")</f>
        <v>0.0707144761396963</v>
      </c>
      <c r="Q36" s="12" t="n">
        <f aca="false">IFERROR('원자료(월별지수)'!T36/'원자료(월별지수)'!S36-1,"")</f>
        <v>-0.0118892001244942</v>
      </c>
      <c r="R36" s="12" t="n">
        <f aca="false">IFERROR('원자료(월별지수)'!U36/'원자료(월별지수)'!T36-1,"")</f>
        <v>-0.0243794884717148</v>
      </c>
      <c r="S36" s="12" t="n">
        <f aca="false">IFERROR('원자료(월별지수)'!V36/'원자료(월별지수)'!U36-1,"")</f>
        <v>0.0253115516239426</v>
      </c>
      <c r="T36" s="12" t="n">
        <f aca="false">IFERROR('원자료(월별지수)'!W36/'원자료(월별지수)'!V36-1,"")</f>
        <v>0.0477989797846212</v>
      </c>
      <c r="U36" s="12" t="n">
        <f aca="false">IFERROR('원자료(월별지수)'!X36/'원자료(월별지수)'!W36-1,"")</f>
        <v>-0.0640702007452819</v>
      </c>
      <c r="V36" s="12" t="n">
        <f aca="false">IFERROR('원자료(월별지수)'!Y36/'원자료(월별지수)'!X36-1,"")</f>
        <v>-0.0676213716927819</v>
      </c>
      <c r="W36" s="12" t="n">
        <f aca="false">IFERROR('원자료(월별지수)'!Z36/'원자료(월별지수)'!Y36-1,"")</f>
        <v>0.0462153040843034</v>
      </c>
      <c r="X36" s="12" t="n">
        <f aca="false">IFERROR('원자료(월별지수)'!AA36/'원자료(월별지수)'!Z36-1,"")</f>
        <v>0.0590520078999341</v>
      </c>
      <c r="Y36" s="12" t="n">
        <f aca="false">IFERROR('원자료(월별지수)'!AB36/'원자료(월별지수)'!AA36-1,"")</f>
        <v>0.0654565798470814</v>
      </c>
      <c r="Z36" s="12" t="n">
        <f aca="false">IFERROR('원자료(월별지수)'!AC36/'원자료(월별지수)'!AB36-1,"")</f>
        <v>-0.0652858809801633</v>
      </c>
      <c r="AA36" s="12" t="n">
        <f aca="false">IFERROR('원자료(월별지수)'!AD36/'원자료(월별지수)'!AC36-1,"")</f>
        <v>0.0191623494163908</v>
      </c>
      <c r="AB36" s="12" t="n">
        <f aca="false">IFERROR('원자료(월별지수)'!AE36/'원자료(월별지수)'!AD36-1,"")</f>
        <v>0.0850073493385595</v>
      </c>
      <c r="AC36" s="12" t="n">
        <f aca="false">IFERROR('원자료(월별지수)'!AF36/'원자료(월별지수)'!AE36-1,"")</f>
        <v>-0.0330209979679386</v>
      </c>
      <c r="AD36" s="12" t="n">
        <f aca="false">IFERROR('원자료(월별지수)'!AG36/'원자료(월별지수)'!AF36-1,"")</f>
        <v>0.0186212130056622</v>
      </c>
      <c r="AE36" s="12" t="n">
        <f aca="false">IFERROR('원자료(월별지수)'!AH36/'원자료(월별지수)'!AG36-1,"")</f>
        <v>-0.0155300859598855</v>
      </c>
      <c r="AF36" s="12" t="n">
        <f aca="false">IFERROR('원자료(월별지수)'!AI36/'원자료(월별지수)'!AH36-1,"")</f>
        <v>0.0404563711508237</v>
      </c>
      <c r="AG36" s="12" t="n">
        <f aca="false">IFERROR('원자료(월별지수)'!AJ36/'원자료(월별지수)'!AI36-1,"")</f>
        <v>-0.0174555219872441</v>
      </c>
      <c r="AH36" s="12" t="n">
        <f aca="false">IFERROR('원자료(월별지수)'!AK36/'원자료(월별지수)'!AJ36-1,"")</f>
        <v>-0.0614964127092587</v>
      </c>
      <c r="AI36" s="12" t="n">
        <f aca="false">IFERROR('원자료(월별지수)'!AL36/'원자료(월별지수)'!AK36-1,"")</f>
        <v>-0.0376774663269019</v>
      </c>
      <c r="AJ36" s="12" t="n">
        <f aca="false">IFERROR('원자료(월별지수)'!AM36/'원자료(월별지수)'!AL36-1,"")</f>
        <v>-0.0397200680915454</v>
      </c>
      <c r="AK36" s="12" t="n">
        <f aca="false">IFERROR('원자료(월별지수)'!AN36/'원자료(월별지수)'!AM36-1,"")</f>
        <v>-0.00564637909526633</v>
      </c>
      <c r="AL36" s="12" t="n">
        <f aca="false">IFERROR('원자료(월별지수)'!AO36/'원자료(월별지수)'!AN36-1,"")</f>
        <v>-0.0281941234730934</v>
      </c>
      <c r="AM36" s="12" t="n">
        <f aca="false">IFERROR('원자료(월별지수)'!AP36/'원자료(월별지수)'!AO36-1,"")</f>
        <v>0.0664492458214432</v>
      </c>
      <c r="AN36" s="12" t="n">
        <f aca="false">IFERROR('원자료(월별지수)'!AQ36/'원자료(월별지수)'!AP36-1,"")</f>
        <v>0.0119775739041794</v>
      </c>
      <c r="AO36" s="12" t="n">
        <f aca="false">IFERROR('원자료(월별지수)'!AR36/'원자료(월별지수)'!AQ36-1,"")</f>
        <v>0.00402921178544435</v>
      </c>
      <c r="AP36" s="12" t="n">
        <f aca="false">IFERROR('원자료(월별지수)'!AS36/'원자료(월별지수)'!AR36-1,"")</f>
        <v>-0.0539879608728366</v>
      </c>
      <c r="AQ36" s="12" t="n">
        <f aca="false">IFERROR('원자료(월별지수)'!AT36/'원자료(월별지수)'!AS36-1,"")</f>
        <v>-0.0296944389209254</v>
      </c>
      <c r="AR36" s="12" t="n">
        <f aca="false">IFERROR('원자료(월별지수)'!AU36/'원자료(월별지수)'!AT36-1,"")</f>
        <v>0.0383906004508505</v>
      </c>
      <c r="AS36" s="12" t="n">
        <f aca="false">IFERROR('원자료(월별지수)'!AV36/'원자료(월별지수)'!AU36-1,"")</f>
        <v>0.0182224853628052</v>
      </c>
      <c r="AT36" s="12" t="n">
        <f aca="false">IFERROR('원자료(월별지수)'!AW36/'원자료(월별지수)'!AV36-1,"")</f>
        <v>-0.00458715596330284</v>
      </c>
      <c r="AU36" s="12" t="n">
        <f aca="false">IFERROR('원자료(월별지수)'!AX36/'원자료(월별지수)'!AW36-1,"")</f>
        <v>-0.0783410138248848</v>
      </c>
      <c r="AV36" s="12" t="n">
        <f aca="false">IFERROR('원자료(월별지수)'!AY36/'원자료(월별지수)'!AX36-1,"")</f>
        <v>-0.0584507042253521</v>
      </c>
      <c r="AW36" s="12" t="n">
        <f aca="false">IFERROR('원자료(월별지수)'!AZ36/'원자료(월별지수)'!AY36-1,"")</f>
        <v>0.142931937172775</v>
      </c>
      <c r="AX36" s="12" t="n">
        <f aca="false">IFERROR('원자료(월별지수)'!BA36/'원자료(월별지수)'!AZ36-1,"")</f>
        <v>0.0498004057326091</v>
      </c>
      <c r="AY36" s="12" t="n">
        <f aca="false">IFERROR('원자료(월별지수)'!BB36/'원자료(월별지수)'!BA36-1,"")</f>
        <v>-0.00741802767734701</v>
      </c>
      <c r="AZ36" s="12" t="n">
        <f aca="false">IFERROR('원자료(월별지수)'!BC36/'원자료(월별지수)'!BB36-1,"")</f>
        <v>0.00998555548577529</v>
      </c>
      <c r="BA36" s="12" t="n">
        <f aca="false">IFERROR('원자료(월별지수)'!BD36/'원자료(월별지수)'!BC36-1,"")</f>
        <v>0.0360029847033951</v>
      </c>
      <c r="BB36" s="12" t="n">
        <f aca="false">IFERROR('원자료(월별지수)'!BE36/'원자료(월별지수)'!BD36-1,"")</f>
        <v>0.0298901626553028</v>
      </c>
      <c r="BC36" s="12" t="n">
        <f aca="false">IFERROR('원자료(월별지수)'!BF36/'원자료(월별지수)'!BE36-1,"")</f>
        <v>-0.0529168366454922</v>
      </c>
      <c r="BD36" s="12" t="n">
        <f aca="false">IFERROR('원자료(월별지수)'!BG36/'원자료(월별지수)'!BF36-1,"")</f>
        <v>0.0303981293458864</v>
      </c>
      <c r="BE36" s="12" t="n">
        <f aca="false">IFERROR('원자료(월별지수)'!BH36/'원자료(월별지수)'!BG36-1,"")</f>
        <v>-0.0228127799343087</v>
      </c>
      <c r="BF36" s="12" t="n">
        <f aca="false">IFERROR('원자료(월별지수)'!BI36/'원자료(월별지수)'!BH36-1,"")</f>
        <v>-0.050968648780786</v>
      </c>
      <c r="BG36" s="12" t="n">
        <f aca="false">IFERROR('원자료(월별지수)'!BJ36/'원자료(월별지수)'!BI36-1,"")</f>
        <v>-0.026209028269689</v>
      </c>
      <c r="BH36" s="12" t="n">
        <f aca="false">IFERROR('원자료(월별지수)'!BK36/'원자료(월별지수)'!BJ36-1,"")</f>
        <v>0.0260547546620817</v>
      </c>
      <c r="BI36" s="12" t="n">
        <f aca="false">IFERROR('원자료(월별지수)'!BL36/'원자료(월별지수)'!BK36-1,"")</f>
        <v>0.0716035060582625</v>
      </c>
      <c r="BJ36" s="12" t="n">
        <f aca="false">IFERROR('원자료(월별지수)'!BM36/'원자료(월별지수)'!BL36-1,"")</f>
        <v>-0.0140734949179047</v>
      </c>
      <c r="BK36" s="12" t="n">
        <f aca="false">IFERROR('원자료(월별지수)'!BN36/'원자료(월별지수)'!BM36-1,"")</f>
        <v>0.0524004148111998</v>
      </c>
      <c r="BL36" s="12" t="n">
        <f aca="false">IFERROR('원자료(월별지수)'!BO36/'원자료(월별지수)'!BN36-1,"")</f>
        <v>0.0501391143055876</v>
      </c>
      <c r="BM36" s="12" t="n">
        <f aca="false">IFERROR('원자료(월별지수)'!BP36/'원자료(월별지수)'!BO36-1,"")</f>
        <v>0.0342220014351162</v>
      </c>
      <c r="BN36" s="12" t="n">
        <f aca="false">IFERROR('원자료(월별지수)'!BQ36/'원자료(월별지수)'!BP36-1,"")</f>
        <v>-0.0238565405347708</v>
      </c>
    </row>
    <row r="37" customFormat="false" ht="15" hidden="false" customHeight="false" outlineLevel="0" collapsed="false">
      <c r="A37" s="8" t="s">
        <v>124</v>
      </c>
      <c r="B37" s="9" t="s">
        <v>128</v>
      </c>
      <c r="C37" s="12" t="n">
        <f aca="false">IFERROR('원자료(월별지수)'!F37/'원자료(월별지수)'!E37-1,"")</f>
        <v>0.117137411193901</v>
      </c>
      <c r="D37" s="12" t="n">
        <f aca="false">IFERROR('원자료(월별지수)'!G37/'원자료(월별지수)'!F37-1,"")</f>
        <v>0.10314875135722</v>
      </c>
      <c r="E37" s="12" t="n">
        <f aca="false">IFERROR('원자료(월별지수)'!H37/'원자료(월별지수)'!G37-1,"")</f>
        <v>0.0776152980877389</v>
      </c>
      <c r="F37" s="12" t="n">
        <f aca="false">IFERROR('원자료(월별지수)'!I37/'원자료(월별지수)'!H37-1,"")</f>
        <v>-0.0311847599164927</v>
      </c>
      <c r="G37" s="12" t="n">
        <f aca="false">IFERROR('원자료(월별지수)'!J37/'원자료(월별지수)'!I37-1,"")</f>
        <v>-0.0457912457912458</v>
      </c>
      <c r="H37" s="12" t="n">
        <f aca="false">IFERROR('원자료(월별지수)'!K37/'원자료(월별지수)'!J37-1,"")</f>
        <v>0.0336626676076217</v>
      </c>
      <c r="I37" s="12" t="n">
        <f aca="false">IFERROR('원자료(월별지수)'!L37/'원자료(월별지수)'!K37-1,"")</f>
        <v>0.0371407114084796</v>
      </c>
      <c r="J37" s="12" t="n">
        <f aca="false">IFERROR('원자료(월별지수)'!M37/'원자료(월별지수)'!L37-1,"")</f>
        <v>0</v>
      </c>
      <c r="K37" s="12" t="n">
        <f aca="false">IFERROR('원자료(월별지수)'!N37/'원자료(월별지수)'!M37-1,"")</f>
        <v>0</v>
      </c>
      <c r="L37" s="12" t="n">
        <f aca="false">IFERROR('원자료(월별지수)'!O37/'원자료(월별지수)'!N37-1,"")</f>
        <v>0</v>
      </c>
      <c r="M37" s="12" t="n">
        <f aca="false">IFERROR('원자료(월별지수)'!P37/'원자료(월별지수)'!O37-1,"")</f>
        <v>0</v>
      </c>
      <c r="N37" s="12" t="n">
        <f aca="false">IFERROR('원자료(월별지수)'!Q37/'원자료(월별지수)'!P37-1,"")</f>
        <v>0</v>
      </c>
      <c r="O37" s="12" t="n">
        <f aca="false">IFERROR('원자료(월별지수)'!R37/'원자료(월별지수)'!Q37-1,"")</f>
        <v>0</v>
      </c>
      <c r="P37" s="12" t="n">
        <f aca="false">IFERROR('원자료(월별지수)'!S37/'원자료(월별지수)'!R37-1,"")</f>
        <v>0</v>
      </c>
      <c r="Q37" s="12" t="n">
        <f aca="false">IFERROR('원자료(월별지수)'!T37/'원자료(월별지수)'!S37-1,"")</f>
        <v>0</v>
      </c>
      <c r="R37" s="12" t="n">
        <f aca="false">IFERROR('원자료(월별지수)'!U37/'원자료(월별지수)'!T37-1,"")</f>
        <v>0</v>
      </c>
      <c r="S37" s="12" t="n">
        <f aca="false">IFERROR('원자료(월별지수)'!V37/'원자료(월별지수)'!U37-1,"")</f>
        <v>0</v>
      </c>
      <c r="T37" s="12" t="n">
        <f aca="false">IFERROR('원자료(월별지수)'!W37/'원자료(월별지수)'!V37-1,"")</f>
        <v>0</v>
      </c>
      <c r="U37" s="12" t="n">
        <f aca="false">IFERROR('원자료(월별지수)'!X37/'원자료(월별지수)'!W37-1,"")</f>
        <v>0</v>
      </c>
      <c r="V37" s="12" t="n">
        <f aca="false">IFERROR('원자료(월별지수)'!Y37/'원자료(월별지수)'!X37-1,"")</f>
        <v>0</v>
      </c>
      <c r="W37" s="12" t="n">
        <f aca="false">IFERROR('원자료(월별지수)'!Z37/'원자료(월별지수)'!Y37-1,"")</f>
        <v>0</v>
      </c>
      <c r="X37" s="12" t="n">
        <f aca="false">IFERROR('원자료(월별지수)'!AA37/'원자료(월별지수)'!Z37-1,"")</f>
        <v>0</v>
      </c>
      <c r="Y37" s="12" t="n">
        <f aca="false">IFERROR('원자료(월별지수)'!AB37/'원자료(월별지수)'!AA37-1,"")</f>
        <v>0</v>
      </c>
      <c r="Z37" s="12" t="n">
        <f aca="false">IFERROR('원자료(월별지수)'!AC37/'원자료(월별지수)'!AB37-1,"")</f>
        <v>0</v>
      </c>
      <c r="AA37" s="12" t="n">
        <f aca="false">IFERROR('원자료(월별지수)'!AD37/'원자료(월별지수)'!AC37-1,"")</f>
        <v>0</v>
      </c>
      <c r="AB37" s="12" t="n">
        <f aca="false">IFERROR('원자료(월별지수)'!AE37/'원자료(월별지수)'!AD37-1,"")</f>
        <v>0.0315976565071425</v>
      </c>
      <c r="AC37" s="12" t="n">
        <f aca="false">IFERROR('원자료(월별지수)'!AF37/'원자료(월별지수)'!AE37-1,"")</f>
        <v>0.0209303809584582</v>
      </c>
      <c r="AD37" s="12" t="n">
        <f aca="false">IFERROR('원자료(월별지수)'!AG37/'원자료(월별지수)'!AF37-1,"")</f>
        <v>0.051753234577161</v>
      </c>
      <c r="AE37" s="12" t="n">
        <f aca="false">IFERROR('원자료(월별지수)'!AH37/'원자료(월별지수)'!AG37-1,"")</f>
        <v>-0.0824864800618056</v>
      </c>
      <c r="AF37" s="12" t="n">
        <f aca="false">IFERROR('원자료(월별지수)'!AI37/'원자료(월별지수)'!AH37-1,"")</f>
        <v>-0.0746810026556123</v>
      </c>
      <c r="AG37" s="12" t="n">
        <f aca="false">IFERROR('원자료(월별지수)'!AJ37/'원자료(월별지수)'!AI37-1,"")</f>
        <v>-0.0378692426151479</v>
      </c>
      <c r="AH37" s="12" t="n">
        <f aca="false">IFERROR('원자료(월별지수)'!AK37/'원자료(월별지수)'!AJ37-1,"")</f>
        <v>-0.0845398326664241</v>
      </c>
      <c r="AI37" s="12" t="n">
        <f aca="false">IFERROR('원자료(월별지수)'!AL37/'원자료(월별지수)'!AK37-1,"")</f>
        <v>0.010569816418978</v>
      </c>
      <c r="AJ37" s="12" t="n">
        <f aca="false">IFERROR('원자료(월별지수)'!AM37/'원자료(월별지수)'!AL37-1,"")</f>
        <v>-0.00424661843346963</v>
      </c>
      <c r="AK37" s="12" t="n">
        <f aca="false">IFERROR('원자료(월별지수)'!AN37/'원자료(월별지수)'!AM37-1,"")</f>
        <v>-0.0009477175801611</v>
      </c>
      <c r="AL37" s="12" t="n">
        <f aca="false">IFERROR('원자료(월별지수)'!AO37/'원자료(월별지수)'!AN37-1,"")</f>
        <v>0.0426086956521738</v>
      </c>
      <c r="AM37" s="12" t="n">
        <f aca="false">IFERROR('원자료(월별지수)'!AP37/'원자료(월별지수)'!AO37-1,"")</f>
        <v>-0.0650542118432026</v>
      </c>
      <c r="AN37" s="12" t="n">
        <f aca="false">IFERROR('원자료(월별지수)'!AQ37/'원자료(월별지수)'!AP37-1,"")</f>
        <v>0.0203552023355769</v>
      </c>
      <c r="AO37" s="12" t="n">
        <f aca="false">IFERROR('원자료(월별지수)'!AR37/'원자료(월별지수)'!AQ37-1,"")</f>
        <v>-0.13725957717374</v>
      </c>
      <c r="AP37" s="12" t="n">
        <f aca="false">IFERROR('원자료(월별지수)'!AS37/'원자료(월별지수)'!AR37-1,"")</f>
        <v>-0.140672501151543</v>
      </c>
      <c r="AQ37" s="12" t="n">
        <f aca="false">IFERROR('원자료(월별지수)'!AT37/'원자료(월별지수)'!AS37-1,"")</f>
        <v>-0.0927315608919384</v>
      </c>
      <c r="AR37" s="12" t="n">
        <f aca="false">IFERROR('원자료(월별지수)'!AU37/'원자료(월별지수)'!AT37-1,"")</f>
        <v>-0.00366300366300365</v>
      </c>
      <c r="AS37" s="12" t="n">
        <f aca="false">IFERROR('원자료(월별지수)'!AV37/'원자료(월별지수)'!AU37-1,"")</f>
        <v>0.0206356736242885</v>
      </c>
      <c r="AT37" s="12" t="n">
        <f aca="false">IFERROR('원자료(월별지수)'!AW37/'원자료(월별지수)'!AV37-1,"")</f>
        <v>-0.00732047408784564</v>
      </c>
      <c r="AU37" s="12" t="n">
        <f aca="false">IFERROR('원자료(월별지수)'!AX37/'원자료(월별지수)'!AW37-1,"")</f>
        <v>-0.036755238206719</v>
      </c>
      <c r="AV37" s="12" t="n">
        <f aca="false">IFERROR('원자료(월별지수)'!AY37/'원자료(월별지수)'!AX37-1,"")</f>
        <v>0.0465427147891602</v>
      </c>
      <c r="AW37" s="12" t="n">
        <f aca="false">IFERROR('원자료(월별지수)'!AZ37/'원자료(월별지수)'!AY37-1,"")</f>
        <v>0.0330933581049697</v>
      </c>
      <c r="AX37" s="12" t="n">
        <f aca="false">IFERROR('원자료(월별지수)'!BA37/'원자료(월별지수)'!AZ37-1,"")</f>
        <v>0.0443969877486794</v>
      </c>
      <c r="AY37" s="12" t="n">
        <f aca="false">IFERROR('원자료(월별지수)'!BB37/'원자료(월별지수)'!BA37-1,"")</f>
        <v>-0.0111924235901851</v>
      </c>
      <c r="AZ37" s="12" t="n">
        <f aca="false">IFERROR('원자료(월별지수)'!BC37/'원자료(월별지수)'!BB37-1,"")</f>
        <v>0.0605137135393992</v>
      </c>
      <c r="BA37" s="12" t="n">
        <f aca="false">IFERROR('원자료(월별지수)'!BD37/'원자료(월별지수)'!BC37-1,"")</f>
        <v>0.00913382594417067</v>
      </c>
      <c r="BB37" s="12" t="n">
        <f aca="false">IFERROR('원자료(월별지수)'!BE37/'원자료(월별지수)'!BD37-1,"")</f>
        <v>-0.157022271941422</v>
      </c>
      <c r="BC37" s="12" t="n">
        <f aca="false">IFERROR('원자료(월별지수)'!BF37/'원자료(월별지수)'!BE37-1,"")</f>
        <v>-0.0400530823983594</v>
      </c>
      <c r="BD37" s="12" t="n">
        <f aca="false">IFERROR('원자료(월별지수)'!BG37/'원자료(월별지수)'!BF37-1,"")</f>
        <v>0.0625864019102678</v>
      </c>
      <c r="BE37" s="12" t="n">
        <f aca="false">IFERROR('원자료(월별지수)'!BH37/'원자료(월별지수)'!BG37-1,"")</f>
        <v>0.0327616794795977</v>
      </c>
      <c r="BF37" s="12" t="n">
        <f aca="false">IFERROR('원자료(월별지수)'!BI37/'원자료(월별지수)'!BH37-1,"")</f>
        <v>-0.0505038937242327</v>
      </c>
      <c r="BG37" s="12" t="n">
        <f aca="false">IFERROR('원자료(월별지수)'!BJ37/'원자료(월별지수)'!BI37-1,"")</f>
        <v>-0.0303944035701362</v>
      </c>
      <c r="BH37" s="12" t="n">
        <f aca="false">IFERROR('원자료(월별지수)'!BK37/'원자료(월별지수)'!BJ37-1,"")</f>
        <v>0.0129369324542854</v>
      </c>
      <c r="BI37" s="12" t="n">
        <f aca="false">IFERROR('원자료(월별지수)'!BL37/'원자료(월별지수)'!BK37-1,"")</f>
        <v>0.0803143804494657</v>
      </c>
      <c r="BJ37" s="12" t="n">
        <f aca="false">IFERROR('원자료(월별지수)'!BM37/'원자료(월별지수)'!BL37-1,"")</f>
        <v>0.156757985676935</v>
      </c>
      <c r="BK37" s="12" t="n">
        <f aca="false">IFERROR('원자료(월별지수)'!BN37/'원자료(월별지수)'!BM37-1,"")</f>
        <v>0.113797169811321</v>
      </c>
      <c r="BL37" s="12" t="n">
        <f aca="false">IFERROR('원자료(월별지수)'!BO37/'원자료(월별지수)'!BN37-1,"")</f>
        <v>0.113728604199753</v>
      </c>
      <c r="BM37" s="12" t="n">
        <f aca="false">IFERROR('원자료(월별지수)'!BP37/'원자료(월별지수)'!BO37-1,"")</f>
        <v>-0.094351580448388</v>
      </c>
      <c r="BN37" s="12" t="n">
        <f aca="false">IFERROR('원자료(월별지수)'!BQ37/'원자료(월별지수)'!BP37-1,"")</f>
        <v>-0.174510146955913</v>
      </c>
    </row>
    <row r="38" customFormat="false" ht="15" hidden="false" customHeight="false" outlineLevel="0" collapsed="false">
      <c r="A38" s="8" t="s">
        <v>124</v>
      </c>
      <c r="B38" s="9" t="s">
        <v>129</v>
      </c>
      <c r="C38" s="12" t="n">
        <f aca="false">IFERROR('원자료(월별지수)'!F38/'원자료(월별지수)'!E38-1,"")</f>
        <v>0.225105189340813</v>
      </c>
      <c r="D38" s="12" t="n">
        <f aca="false">IFERROR('원자료(월별지수)'!G38/'원자료(월별지수)'!F38-1,"")</f>
        <v>-0.0259301659988552</v>
      </c>
      <c r="E38" s="12" t="n">
        <f aca="false">IFERROR('원자료(월별지수)'!H38/'원자료(월별지수)'!G38-1,"")</f>
        <v>-0.000999000999000965</v>
      </c>
      <c r="F38" s="12" t="n">
        <f aca="false">IFERROR('원자료(월별지수)'!I38/'원자료(월별지수)'!H38-1,"")</f>
        <v>0.0484117647058824</v>
      </c>
      <c r="G38" s="12" t="n">
        <f aca="false">IFERROR('원자료(월별지수)'!J38/'원자료(월별지수)'!I38-1,"")</f>
        <v>0.0324300061718006</v>
      </c>
      <c r="H38" s="12" t="n">
        <f aca="false">IFERROR('원자료(월별지수)'!K38/'원자료(월별지수)'!J38-1,"")</f>
        <v>-0.00445627955002437</v>
      </c>
      <c r="I38" s="12" t="n">
        <f aca="false">IFERROR('원자료(월별지수)'!L38/'원자료(월별지수)'!K38-1,"")</f>
        <v>-0.0602107101916044</v>
      </c>
      <c r="J38" s="12" t="n">
        <f aca="false">IFERROR('원자료(월별지수)'!M38/'원자료(월별지수)'!L38-1,"")</f>
        <v>-0.0677276951672863</v>
      </c>
      <c r="K38" s="12" t="n">
        <f aca="false">IFERROR('원자료(월별지수)'!N38/'원자료(월별지수)'!M38-1,"")</f>
        <v>-0.131339563862928</v>
      </c>
      <c r="L38" s="12" t="n">
        <f aca="false">IFERROR('원자료(월별지수)'!O38/'원자료(월별지수)'!N38-1,"")</f>
        <v>-0.0173576244441256</v>
      </c>
      <c r="M38" s="12" t="n">
        <f aca="false">IFERROR('원자료(월별지수)'!P38/'원자료(월별지수)'!O38-1,"")</f>
        <v>0.00255474452554738</v>
      </c>
      <c r="N38" s="12" t="n">
        <f aca="false">IFERROR('원자료(월별지수)'!Q38/'원자료(월별지수)'!P38-1,"")</f>
        <v>-0.0058245358572987</v>
      </c>
      <c r="O38" s="12" t="n">
        <f aca="false">IFERROR('원자료(월별지수)'!R38/'원자료(월별지수)'!Q38-1,"")</f>
        <v>-0.0391065543756866</v>
      </c>
      <c r="P38" s="12" t="n">
        <f aca="false">IFERROR('원자료(월별지수)'!S38/'원자료(월별지수)'!R38-1,"")</f>
        <v>0.0848258516881335</v>
      </c>
      <c r="Q38" s="12" t="n">
        <f aca="false">IFERROR('원자료(월별지수)'!T38/'원자료(월별지수)'!S38-1,"")</f>
        <v>0.0678656737389349</v>
      </c>
      <c r="R38" s="12" t="n">
        <f aca="false">IFERROR('원자료(월별지수)'!U38/'원자료(월별지수)'!T38-1,"")</f>
        <v>0.0482894736842106</v>
      </c>
      <c r="S38" s="12" t="n">
        <f aca="false">IFERROR('원자료(월별지수)'!V38/'원자료(월별지수)'!U38-1,"")</f>
        <v>-0.0102296975021965</v>
      </c>
      <c r="T38" s="12" t="n">
        <f aca="false">IFERROR('원자료(월별지수)'!W38/'원자료(월별지수)'!V38-1,"")</f>
        <v>-0.0263775283748653</v>
      </c>
      <c r="U38" s="12" t="n">
        <f aca="false">IFERROR('원자료(월별지수)'!X38/'원자료(월별지수)'!W38-1,"")</f>
        <v>-0.0253988928687724</v>
      </c>
      <c r="V38" s="12" t="n">
        <f aca="false">IFERROR('원자료(월별지수)'!Y38/'원자료(월별지수)'!X38-1,"")</f>
        <v>-0.0265285666555296</v>
      </c>
      <c r="W38" s="12" t="n">
        <f aca="false">IFERROR('원자료(월별지수)'!Z38/'원자료(월별지수)'!Y38-1,"")</f>
        <v>-0.0130422844590885</v>
      </c>
      <c r="X38" s="12" t="n">
        <f aca="false">IFERROR('원자료(월별지수)'!AA38/'원자료(월별지수)'!Z38-1,"")</f>
        <v>0.0446515509806649</v>
      </c>
      <c r="Y38" s="12" t="n">
        <f aca="false">IFERROR('원자료(월별지수)'!AB38/'원자료(월별지수)'!AA38-1,"")</f>
        <v>0.0175099866844208</v>
      </c>
      <c r="Z38" s="12" t="n">
        <f aca="false">IFERROR('원자료(월별지수)'!AC38/'원자료(월별지수)'!AB38-1,"")</f>
        <v>-0.0656939082640844</v>
      </c>
      <c r="AA38" s="12" t="n">
        <f aca="false">IFERROR('원자료(월별지수)'!AD38/'원자료(월별지수)'!AC38-1,"")</f>
        <v>-0.110161776034736</v>
      </c>
      <c r="AB38" s="12" t="n">
        <f aca="false">IFERROR('원자료(월별지수)'!AE38/'원자료(월별지수)'!AD38-1,"")</f>
        <v>0.0557217062804973</v>
      </c>
      <c r="AC38" s="12" t="n">
        <f aca="false">IFERROR('원자료(월별지수)'!AF38/'원자료(월별지수)'!AE38-1,"")</f>
        <v>0.049649619800209</v>
      </c>
      <c r="AD38" s="12" t="n">
        <f aca="false">IFERROR('원자료(월별지수)'!AG38/'원자료(월별지수)'!AF38-1,"")</f>
        <v>0.0841619318181819</v>
      </c>
      <c r="AE38" s="12" t="n">
        <f aca="false">IFERROR('원자료(월별지수)'!AH38/'원자료(월별지수)'!AG38-1,"")</f>
        <v>-0.0154602030789388</v>
      </c>
      <c r="AF38" s="12" t="n">
        <f aca="false">IFERROR('원자료(월별지수)'!AI38/'원자료(월별지수)'!AH38-1,"")</f>
        <v>-0.0468427706434227</v>
      </c>
      <c r="AG38" s="12" t="n">
        <f aca="false">IFERROR('원자료(월별지수)'!AJ38/'원자료(월별지수)'!AI38-1,"")</f>
        <v>-0.0208027923211168</v>
      </c>
      <c r="AH38" s="12" t="n">
        <f aca="false">IFERROR('원자료(월별지수)'!AK38/'원자료(월별지수)'!AJ38-1,"")</f>
        <v>0.101732373280103</v>
      </c>
      <c r="AI38" s="12" t="n">
        <f aca="false">IFERROR('원자료(월별지수)'!AL38/'원자료(월별지수)'!AK38-1,"")</f>
        <v>0.0152711272162547</v>
      </c>
      <c r="AJ38" s="12" t="n">
        <f aca="false">IFERROR('원자료(월별지수)'!AM38/'원자료(월별지수)'!AL38-1,"")</f>
        <v>-0.0161249203314213</v>
      </c>
      <c r="AK38" s="12" t="n">
        <f aca="false">IFERROR('원자료(월별지수)'!AN38/'원자료(월별지수)'!AM38-1,"")</f>
        <v>-0.00641316317937424</v>
      </c>
      <c r="AL38" s="12" t="n">
        <f aca="false">IFERROR('원자료(월별지수)'!AO38/'원자료(월별지수)'!AN38-1,"")</f>
        <v>0.0046942234971965</v>
      </c>
      <c r="AM38" s="12" t="n">
        <f aca="false">IFERROR('원자료(월별지수)'!AP38/'원자료(월별지수)'!AO38-1,"")</f>
        <v>-0.0541207008436081</v>
      </c>
      <c r="AN38" s="12" t="n">
        <f aca="false">IFERROR('원자료(월별지수)'!AQ38/'원자료(월별지수)'!AP38-1,"")</f>
        <v>-0.0344401756311744</v>
      </c>
      <c r="AO38" s="12" t="n">
        <f aca="false">IFERROR('원자료(월별지수)'!AR38/'원자료(월별지수)'!AQ38-1,"")</f>
        <v>0.0340343896546824</v>
      </c>
      <c r="AP38" s="12" t="n">
        <f aca="false">IFERROR('원자료(월별지수)'!AS38/'원자료(월별지수)'!AR38-1,"")</f>
        <v>0.0181405895691609</v>
      </c>
      <c r="AQ38" s="12" t="n">
        <f aca="false">IFERROR('원자료(월별지수)'!AT38/'원자료(월별지수)'!AS38-1,"")</f>
        <v>0.00465681312006505</v>
      </c>
      <c r="AR38" s="12" t="n">
        <f aca="false">IFERROR('원자료(월별지수)'!AU38/'원자료(월별지수)'!AT38-1,"")</f>
        <v>-0.0122934300685208</v>
      </c>
      <c r="AS38" s="12" t="n">
        <f aca="false">IFERROR('원자료(월별지수)'!AV38/'원자료(월별지수)'!AU38-1,"")</f>
        <v>-0.00564510644086247</v>
      </c>
      <c r="AT38" s="12" t="n">
        <f aca="false">IFERROR('원자료(월별지수)'!AW38/'원자료(월별지수)'!AV38-1,"")</f>
        <v>0.042954856361149</v>
      </c>
      <c r="AU38" s="12" t="n">
        <f aca="false">IFERROR('원자료(월별지수)'!AX38/'원자료(월별지수)'!AW38-1,"")</f>
        <v>-0.0170514165792235</v>
      </c>
      <c r="AV38" s="12" t="n">
        <f aca="false">IFERROR('원자료(월별지수)'!AY38/'원자료(월별지수)'!AX38-1,"")</f>
        <v>-0.00026688017080323</v>
      </c>
      <c r="AW38" s="12" t="n">
        <f aca="false">IFERROR('원자료(월별지수)'!AZ38/'원자료(월별지수)'!AY38-1,"")</f>
        <v>-0.0204217832354512</v>
      </c>
      <c r="AX38" s="12" t="n">
        <f aca="false">IFERROR('원자료(월별지수)'!BA38/'원자료(월별지수)'!AZ38-1,"")</f>
        <v>0.00463278375800513</v>
      </c>
      <c r="AY38" s="12" t="n">
        <f aca="false">IFERROR('원자료(월별지수)'!BB38/'원자료(월별지수)'!BA38-1,"")</f>
        <v>-0.0863284958632851</v>
      </c>
      <c r="AZ38" s="12" t="n">
        <f aca="false">IFERROR('원자료(월별지수)'!BC38/'원자료(월별지수)'!BB38-1,"")</f>
        <v>0.0682104950642024</v>
      </c>
      <c r="BA38" s="12" t="n">
        <f aca="false">IFERROR('원자료(월별지수)'!BD38/'원자료(월별지수)'!BC38-1,"")</f>
        <v>0.113813229571985</v>
      </c>
      <c r="BB38" s="12" t="n">
        <f aca="false">IFERROR('원자료(월별지수)'!BE38/'원자료(월별지수)'!BD38-1,"")</f>
        <v>0.0368683718028695</v>
      </c>
      <c r="BC38" s="12" t="n">
        <f aca="false">IFERROR('원자료(월별지수)'!BF38/'원자료(월별지수)'!BE38-1,"")</f>
        <v>0.0441610011431322</v>
      </c>
      <c r="BD38" s="12" t="n">
        <f aca="false">IFERROR('원자료(월별지수)'!BG38/'원자료(월별지수)'!BF38-1,"")</f>
        <v>0.0111783347738403</v>
      </c>
      <c r="BE38" s="12" t="n">
        <f aca="false">IFERROR('원자료(월별지수)'!BH38/'원자료(월별지수)'!BG38-1,"")</f>
        <v>5.69833038919221E-005</v>
      </c>
      <c r="BF38" s="12" t="n">
        <f aca="false">IFERROR('원자료(월별지수)'!BI38/'원자료(월별지수)'!BH38-1,"")</f>
        <v>-0.00136752136752138</v>
      </c>
      <c r="BG38" s="12" t="n">
        <f aca="false">IFERROR('원자료(월별지수)'!BJ38/'원자료(월별지수)'!BI38-1,"")</f>
        <v>-0.0391418463996347</v>
      </c>
      <c r="BH38" s="12" t="n">
        <f aca="false">IFERROR('원자료(월별지수)'!BK38/'원자료(월별지수)'!BJ38-1,"")</f>
        <v>-0.0355700712589074</v>
      </c>
      <c r="BI38" s="12" t="n">
        <f aca="false">IFERROR('원자료(월별지수)'!BL38/'원자료(월별지수)'!BK38-1,"")</f>
        <v>-0.0338033372329291</v>
      </c>
      <c r="BJ38" s="12" t="n">
        <f aca="false">IFERROR('원자료(월별지수)'!BM38/'원자료(월별지수)'!BL38-1,"")</f>
        <v>0.000318633698699999</v>
      </c>
      <c r="BK38" s="12" t="n">
        <f aca="false">IFERROR('원자료(월별지수)'!BN38/'원자료(월별지수)'!BM38-1,"")</f>
        <v>0.00668917627572152</v>
      </c>
      <c r="BL38" s="12" t="n">
        <f aca="false">IFERROR('원자료(월별지수)'!BO38/'원자료(월별지수)'!BN38-1,"")</f>
        <v>0.0143652702189596</v>
      </c>
      <c r="BM38" s="12" t="n">
        <f aca="false">IFERROR('원자료(월별지수)'!BP38/'원자료(월별지수)'!BO38-1,"")</f>
        <v>0.047788383554807</v>
      </c>
      <c r="BN38" s="12" t="n">
        <f aca="false">IFERROR('원자료(월별지수)'!BQ38/'원자료(월별지수)'!BP38-1,"")</f>
        <v>0.0648407264066688</v>
      </c>
    </row>
    <row r="39" customFormat="false" ht="15" hidden="false" customHeight="false" outlineLevel="0" collapsed="false">
      <c r="A39" s="8" t="s">
        <v>124</v>
      </c>
      <c r="B39" s="9" t="s">
        <v>130</v>
      </c>
      <c r="C39" s="12" t="n">
        <f aca="false">IFERROR('원자료(월별지수)'!F39/'원자료(월별지수)'!E39-1,"")</f>
        <v>0</v>
      </c>
      <c r="D39" s="12" t="n">
        <f aca="false">IFERROR('원자료(월별지수)'!G39/'원자료(월별지수)'!F39-1,"")</f>
        <v>0</v>
      </c>
      <c r="E39" s="12" t="n">
        <f aca="false">IFERROR('원자료(월별지수)'!H39/'원자료(월별지수)'!G39-1,"")</f>
        <v>0</v>
      </c>
      <c r="F39" s="12" t="n">
        <f aca="false">IFERROR('원자료(월별지수)'!I39/'원자료(월별지수)'!H39-1,"")</f>
        <v>0</v>
      </c>
      <c r="G39" s="12" t="n">
        <f aca="false">IFERROR('원자료(월별지수)'!J39/'원자료(월별지수)'!I39-1,"")</f>
        <v>0.119906642030536</v>
      </c>
      <c r="H39" s="12" t="n">
        <f aca="false">IFERROR('원자료(월별지수)'!K39/'원자료(월별지수)'!J39-1,"")</f>
        <v>0</v>
      </c>
      <c r="I39" s="12" t="n">
        <f aca="false">IFERROR('원자료(월별지수)'!L39/'원자료(월별지수)'!K39-1,"")</f>
        <v>0</v>
      </c>
      <c r="J39" s="12" t="n">
        <f aca="false">IFERROR('원자료(월별지수)'!M39/'원자료(월별지수)'!L39-1,"")</f>
        <v>0</v>
      </c>
      <c r="K39" s="12" t="n">
        <f aca="false">IFERROR('원자료(월별지수)'!N39/'원자료(월별지수)'!M39-1,"")</f>
        <v>0</v>
      </c>
      <c r="L39" s="12" t="n">
        <f aca="false">IFERROR('원자료(월별지수)'!O39/'원자료(월별지수)'!N39-1,"")</f>
        <v>0</v>
      </c>
      <c r="M39" s="12" t="n">
        <f aca="false">IFERROR('원자료(월별지수)'!P39/'원자료(월별지수)'!O39-1,"")</f>
        <v>0</v>
      </c>
      <c r="N39" s="12" t="n">
        <f aca="false">IFERROR('원자료(월별지수)'!Q39/'원자료(월별지수)'!P39-1,"")</f>
        <v>0</v>
      </c>
      <c r="O39" s="12" t="n">
        <f aca="false">IFERROR('원자료(월별지수)'!R39/'원자료(월별지수)'!Q39-1,"")</f>
        <v>0</v>
      </c>
      <c r="P39" s="12" t="n">
        <f aca="false">IFERROR('원자료(월별지수)'!S39/'원자료(월별지수)'!R39-1,"")</f>
        <v>0</v>
      </c>
      <c r="Q39" s="12" t="n">
        <f aca="false">IFERROR('원자료(월별지수)'!T39/'원자료(월별지수)'!S39-1,"")</f>
        <v>0</v>
      </c>
      <c r="R39" s="12" t="n">
        <f aca="false">IFERROR('원자료(월별지수)'!U39/'원자료(월별지수)'!T39-1,"")</f>
        <v>0</v>
      </c>
      <c r="S39" s="12" t="n">
        <f aca="false">IFERROR('원자료(월별지수)'!V39/'원자료(월별지수)'!U39-1,"")</f>
        <v>0.044633553317124</v>
      </c>
      <c r="T39" s="12" t="n">
        <f aca="false">IFERROR('원자료(월별지수)'!W39/'원자료(월별지수)'!V39-1,"")</f>
        <v>0.0255195344970907</v>
      </c>
      <c r="U39" s="12" t="n">
        <f aca="false">IFERROR('원자료(월별지수)'!X39/'원자료(월별지수)'!W39-1,"")</f>
        <v>0</v>
      </c>
      <c r="V39" s="12" t="n">
        <f aca="false">IFERROR('원자료(월별지수)'!Y39/'원자료(월별지수)'!X39-1,"")</f>
        <v>0</v>
      </c>
      <c r="W39" s="12" t="n">
        <f aca="false">IFERROR('원자료(월별지수)'!Z39/'원자료(월별지수)'!Y39-1,"")</f>
        <v>0</v>
      </c>
      <c r="X39" s="12" t="n">
        <f aca="false">IFERROR('원자료(월별지수)'!AA39/'원자료(월별지수)'!Z39-1,"")</f>
        <v>0</v>
      </c>
      <c r="Y39" s="12" t="n">
        <f aca="false">IFERROR('원자료(월별지수)'!AB39/'원자료(월별지수)'!AA39-1,"")</f>
        <v>0</v>
      </c>
      <c r="Z39" s="12" t="n">
        <f aca="false">IFERROR('원자료(월별지수)'!AC39/'원자료(월별지수)'!AB39-1,"")</f>
        <v>0</v>
      </c>
      <c r="AA39" s="12" t="n">
        <f aca="false">IFERROR('원자료(월별지수)'!AD39/'원자료(월별지수)'!AC39-1,"")</f>
        <v>0</v>
      </c>
      <c r="AB39" s="12" t="n">
        <f aca="false">IFERROR('원자료(월별지수)'!AE39/'원자료(월별지수)'!AD39-1,"")</f>
        <v>0</v>
      </c>
      <c r="AC39" s="12" t="n">
        <f aca="false">IFERROR('원자료(월별지수)'!AF39/'원자료(월별지수)'!AE39-1,"")</f>
        <v>0</v>
      </c>
      <c r="AD39" s="12" t="n">
        <f aca="false">IFERROR('원자료(월별지수)'!AG39/'원자료(월별지수)'!AF39-1,"")</f>
        <v>0</v>
      </c>
      <c r="AE39" s="12" t="n">
        <f aca="false">IFERROR('원자료(월별지수)'!AH39/'원자료(월별지수)'!AG39-1,"")</f>
        <v>0</v>
      </c>
      <c r="AF39" s="12" t="n">
        <f aca="false">IFERROR('원자료(월별지수)'!AI39/'원자료(월별지수)'!AH39-1,"")</f>
        <v>0</v>
      </c>
      <c r="AG39" s="12" t="n">
        <f aca="false">IFERROR('원자료(월별지수)'!AJ39/'원자료(월별지수)'!AI39-1,"")</f>
        <v>0</v>
      </c>
      <c r="AH39" s="12" t="n">
        <f aca="false">IFERROR('원자료(월별지수)'!AK39/'원자료(월별지수)'!AJ39-1,"")</f>
        <v>0</v>
      </c>
      <c r="AI39" s="12" t="n">
        <f aca="false">IFERROR('원자료(월별지수)'!AL39/'원자료(월별지수)'!AK39-1,"")</f>
        <v>0</v>
      </c>
      <c r="AJ39" s="12" t="n">
        <f aca="false">IFERROR('원자료(월별지수)'!AM39/'원자료(월별지수)'!AL39-1,"")</f>
        <v>0</v>
      </c>
      <c r="AK39" s="12" t="n">
        <f aca="false">IFERROR('원자료(월별지수)'!AN39/'원자료(월별지수)'!AM39-1,"")</f>
        <v>0</v>
      </c>
      <c r="AL39" s="12" t="n">
        <f aca="false">IFERROR('원자료(월별지수)'!AO39/'원자료(월별지수)'!AN39-1,"")</f>
        <v>0</v>
      </c>
      <c r="AM39" s="12" t="n">
        <f aca="false">IFERROR('원자료(월별지수)'!AP39/'원자료(월별지수)'!AO39-1,"")</f>
        <v>0</v>
      </c>
      <c r="AN39" s="12" t="n">
        <f aca="false">IFERROR('원자료(월별지수)'!AQ39/'원자료(월별지수)'!AP39-1,"")</f>
        <v>0</v>
      </c>
      <c r="AO39" s="12" t="n">
        <f aca="false">IFERROR('원자료(월별지수)'!AR39/'원자료(월별지수)'!AQ39-1,"")</f>
        <v>0</v>
      </c>
      <c r="AP39" s="12" t="n">
        <f aca="false">IFERROR('원자료(월별지수)'!AS39/'원자료(월별지수)'!AR39-1,"")</f>
        <v>0</v>
      </c>
      <c r="AQ39" s="12" t="n">
        <f aca="false">IFERROR('원자료(월별지수)'!AT39/'원자료(월별지수)'!AS39-1,"")</f>
        <v>0</v>
      </c>
      <c r="AR39" s="12" t="n">
        <f aca="false">IFERROR('원자료(월별지수)'!AU39/'원자료(월별지수)'!AT39-1,"")</f>
        <v>-0.0486341898354543</v>
      </c>
      <c r="AS39" s="12" t="n">
        <f aca="false">IFERROR('원자료(월별지수)'!AV39/'원자료(월별지수)'!AU39-1,"")</f>
        <v>0</v>
      </c>
      <c r="AT39" s="12" t="n">
        <f aca="false">IFERROR('원자료(월별지수)'!AW39/'원자료(월별지수)'!AV39-1,"")</f>
        <v>0</v>
      </c>
      <c r="AU39" s="12" t="n">
        <f aca="false">IFERROR('원자료(월별지수)'!AX39/'원자료(월별지수)'!AW39-1,"")</f>
        <v>0</v>
      </c>
      <c r="AV39" s="12" t="n">
        <f aca="false">IFERROR('원자료(월별지수)'!AY39/'원자료(월별지수)'!AX39-1,"")</f>
        <v>0</v>
      </c>
      <c r="AW39" s="12" t="n">
        <f aca="false">IFERROR('원자료(월별지수)'!AZ39/'원자료(월별지수)'!AY39-1,"")</f>
        <v>0</v>
      </c>
      <c r="AX39" s="12" t="n">
        <f aca="false">IFERROR('원자료(월별지수)'!BA39/'원자료(월별지수)'!AZ39-1,"")</f>
        <v>0</v>
      </c>
      <c r="AY39" s="12" t="n">
        <f aca="false">IFERROR('원자료(월별지수)'!BB39/'원자료(월별지수)'!BA39-1,"")</f>
        <v>0</v>
      </c>
      <c r="AZ39" s="12" t="n">
        <f aca="false">IFERROR('원자료(월별지수)'!BC39/'원자료(월별지수)'!BB39-1,"")</f>
        <v>0</v>
      </c>
      <c r="BA39" s="12" t="n">
        <f aca="false">IFERROR('원자료(월별지수)'!BD39/'원자료(월별지수)'!BC39-1,"")</f>
        <v>0</v>
      </c>
      <c r="BB39" s="12" t="n">
        <f aca="false">IFERROR('원자료(월별지수)'!BE39/'원자료(월별지수)'!BD39-1,"")</f>
        <v>0</v>
      </c>
      <c r="BC39" s="12" t="n">
        <f aca="false">IFERROR('원자료(월별지수)'!BF39/'원자료(월별지수)'!BE39-1,"")</f>
        <v>0</v>
      </c>
      <c r="BD39" s="12" t="n">
        <f aca="false">IFERROR('원자료(월별지수)'!BG39/'원자료(월별지수)'!BF39-1,"")</f>
        <v>0</v>
      </c>
      <c r="BE39" s="12" t="n">
        <f aca="false">IFERROR('원자료(월별지수)'!BH39/'원자료(월별지수)'!BG39-1,"")</f>
        <v>0</v>
      </c>
      <c r="BF39" s="12" t="n">
        <f aca="false">IFERROR('원자료(월별지수)'!BI39/'원자료(월별지수)'!BH39-1,"")</f>
        <v>0</v>
      </c>
      <c r="BG39" s="12" t="n">
        <f aca="false">IFERROR('원자료(월별지수)'!BJ39/'원자료(월별지수)'!BI39-1,"")</f>
        <v>0</v>
      </c>
      <c r="BH39" s="12" t="n">
        <f aca="false">IFERROR('원자료(월별지수)'!BK39/'원자료(월별지수)'!BJ39-1,"")</f>
        <v>0</v>
      </c>
      <c r="BI39" s="12" t="n">
        <f aca="false">IFERROR('원자료(월별지수)'!BL39/'원자료(월별지수)'!BK39-1,"")</f>
        <v>0</v>
      </c>
      <c r="BJ39" s="12" t="n">
        <f aca="false">IFERROR('원자료(월별지수)'!BM39/'원자료(월별지수)'!BL39-1,"")</f>
        <v>0</v>
      </c>
      <c r="BK39" s="12" t="n">
        <f aca="false">IFERROR('원자료(월별지수)'!BN39/'원자료(월별지수)'!BM39-1,"")</f>
        <v>0</v>
      </c>
      <c r="BL39" s="12" t="n">
        <f aca="false">IFERROR('원자료(월별지수)'!BO39/'원자료(월별지수)'!BN39-1,"")</f>
        <v>0</v>
      </c>
      <c r="BM39" s="12" t="n">
        <f aca="false">IFERROR('원자료(월별지수)'!BP39/'원자료(월별지수)'!BO39-1,"")</f>
        <v>0</v>
      </c>
      <c r="BN39" s="12" t="n">
        <f aca="false">IFERROR('원자료(월별지수)'!BQ39/'원자료(월별지수)'!BP39-1,"")</f>
        <v>0</v>
      </c>
    </row>
    <row r="40" customFormat="false" ht="15" hidden="false" customHeight="false" outlineLevel="0" collapsed="false">
      <c r="A40" s="8" t="s">
        <v>131</v>
      </c>
      <c r="B40" s="9" t="s">
        <v>132</v>
      </c>
      <c r="C40" s="12" t="n">
        <f aca="false">IFERROR('원자료(월별지수)'!F40/'원자료(월별지수)'!E40-1,"")</f>
        <v>0</v>
      </c>
      <c r="D40" s="12" t="n">
        <f aca="false">IFERROR('원자료(월별지수)'!G40/'원자료(월별지수)'!F40-1,"")</f>
        <v>0</v>
      </c>
      <c r="E40" s="12" t="n">
        <f aca="false">IFERROR('원자료(월별지수)'!H40/'원자료(월별지수)'!G40-1,"")</f>
        <v>0</v>
      </c>
      <c r="F40" s="12" t="n">
        <f aca="false">IFERROR('원자료(월별지수)'!I40/'원자료(월별지수)'!H40-1,"")</f>
        <v>0.00366935072877372</v>
      </c>
      <c r="G40" s="12" t="n">
        <f aca="false">IFERROR('원자료(월별지수)'!J40/'원자료(월별지수)'!I40-1,"")</f>
        <v>0</v>
      </c>
      <c r="H40" s="12" t="n">
        <f aca="false">IFERROR('원자료(월별지수)'!K40/'원자료(월별지수)'!J40-1,"")</f>
        <v>0.0169594800446837</v>
      </c>
      <c r="I40" s="12" t="n">
        <f aca="false">IFERROR('원자료(월별지수)'!L40/'원자료(월별지수)'!K40-1,"")</f>
        <v>0</v>
      </c>
      <c r="J40" s="12" t="n">
        <f aca="false">IFERROR('원자료(월별지수)'!M40/'원자료(월별지수)'!L40-1,"")</f>
        <v>0</v>
      </c>
      <c r="K40" s="12" t="n">
        <f aca="false">IFERROR('원자료(월별지수)'!N40/'원자료(월별지수)'!M40-1,"")</f>
        <v>0</v>
      </c>
      <c r="L40" s="12" t="n">
        <f aca="false">IFERROR('원자료(월별지수)'!O40/'원자료(월별지수)'!N40-1,"")</f>
        <v>0.0208707809067306</v>
      </c>
      <c r="M40" s="12" t="n">
        <f aca="false">IFERROR('원자료(월별지수)'!P40/'원자료(월별지수)'!O40-1,"")</f>
        <v>0</v>
      </c>
      <c r="N40" s="12" t="n">
        <f aca="false">IFERROR('원자료(월별지수)'!Q40/'원자료(월별지수)'!P40-1,"")</f>
        <v>0</v>
      </c>
      <c r="O40" s="12" t="n">
        <f aca="false">IFERROR('원자료(월별지수)'!R40/'원자료(월별지수)'!Q40-1,"")</f>
        <v>0</v>
      </c>
      <c r="P40" s="12" t="n">
        <f aca="false">IFERROR('원자료(월별지수)'!S40/'원자료(월별지수)'!R40-1,"")</f>
        <v>0.0644624865499364</v>
      </c>
      <c r="Q40" s="12" t="n">
        <f aca="false">IFERROR('원자료(월별지수)'!T40/'원자료(월별지수)'!S40-1,"")</f>
        <v>0</v>
      </c>
      <c r="R40" s="12" t="n">
        <f aca="false">IFERROR('원자료(월별지수)'!U40/'원자료(월별지수)'!T40-1,"")</f>
        <v>0</v>
      </c>
      <c r="S40" s="12" t="n">
        <f aca="false">IFERROR('원자료(월별지수)'!V40/'원자료(월별지수)'!U40-1,"")</f>
        <v>0.0193898180481531</v>
      </c>
      <c r="T40" s="12" t="n">
        <f aca="false">IFERROR('원자료(월별지수)'!W40/'원자료(월별지수)'!V40-1,"")</f>
        <v>0</v>
      </c>
      <c r="U40" s="12" t="n">
        <f aca="false">IFERROR('원자료(월별지수)'!X40/'원자료(월별지수)'!W40-1,"")</f>
        <v>0</v>
      </c>
      <c r="V40" s="12" t="n">
        <f aca="false">IFERROR('원자료(월별지수)'!Y40/'원자료(월별지수)'!X40-1,"")</f>
        <v>0</v>
      </c>
      <c r="W40" s="12" t="n">
        <f aca="false">IFERROR('원자료(월별지수)'!Z40/'원자료(월별지수)'!Y40-1,"")</f>
        <v>-0.00360587758045616</v>
      </c>
      <c r="X40" s="12" t="n">
        <f aca="false">IFERROR('원자료(월별지수)'!AA40/'원자료(월별지수)'!Z40-1,"")</f>
        <v>0</v>
      </c>
      <c r="Y40" s="12" t="n">
        <f aca="false">IFERROR('원자료(월별지수)'!AB40/'원자료(월별지수)'!AA40-1,"")</f>
        <v>0</v>
      </c>
      <c r="Z40" s="12" t="n">
        <f aca="false">IFERROR('원자료(월별지수)'!AC40/'원자료(월별지수)'!AB40-1,"")</f>
        <v>0.00153804396996282</v>
      </c>
      <c r="AA40" s="12" t="n">
        <f aca="false">IFERROR('원자료(월별지수)'!AD40/'원자료(월별지수)'!AC40-1,"")</f>
        <v>0</v>
      </c>
      <c r="AB40" s="12" t="n">
        <f aca="false">IFERROR('원자료(월별지수)'!AE40/'원자료(월별지수)'!AD40-1,"")</f>
        <v>0</v>
      </c>
      <c r="AC40" s="12" t="n">
        <f aca="false">IFERROR('원자료(월별지수)'!AF40/'원자료(월별지수)'!AE40-1,"")</f>
        <v>0.00487804878048781</v>
      </c>
      <c r="AD40" s="12" t="n">
        <f aca="false">IFERROR('원자료(월별지수)'!AG40/'원자료(월별지수)'!AF40-1,"")</f>
        <v>0</v>
      </c>
      <c r="AE40" s="12" t="n">
        <f aca="false">IFERROR('원자료(월별지수)'!AH40/'원자료(월별지수)'!AG40-1,"")</f>
        <v>0</v>
      </c>
      <c r="AF40" s="12" t="n">
        <f aca="false">IFERROR('원자료(월별지수)'!AI40/'원자료(월별지수)'!AH40-1,"")</f>
        <v>-0.0195972671700826</v>
      </c>
      <c r="AG40" s="12" t="n">
        <f aca="false">IFERROR('원자료(월별지수)'!AJ40/'원자료(월별지수)'!AI40-1,"")</f>
        <v>0</v>
      </c>
      <c r="AH40" s="12" t="n">
        <f aca="false">IFERROR('원자료(월별지수)'!AK40/'원자료(월별지수)'!AJ40-1,"")</f>
        <v>0</v>
      </c>
      <c r="AI40" s="12" t="n">
        <f aca="false">IFERROR('원자료(월별지수)'!AL40/'원자료(월별지수)'!AK40-1,"")</f>
        <v>-0.0161379057399597</v>
      </c>
      <c r="AJ40" s="12" t="n">
        <f aca="false">IFERROR('원자료(월별지수)'!AM40/'원자료(월별지수)'!AL40-1,"")</f>
        <v>0</v>
      </c>
      <c r="AK40" s="12" t="n">
        <f aca="false">IFERROR('원자료(월별지수)'!AN40/'원자료(월별지수)'!AM40-1,"")</f>
        <v>0</v>
      </c>
      <c r="AL40" s="12" t="n">
        <f aca="false">IFERROR('원자료(월별지수)'!AO40/'원자료(월별지수)'!AN40-1,"")</f>
        <v>-0.00848089468779123</v>
      </c>
      <c r="AM40" s="12" t="n">
        <f aca="false">IFERROR('원자료(월별지수)'!AP40/'원자료(월별지수)'!AO40-1,"")</f>
        <v>0</v>
      </c>
      <c r="AN40" s="12" t="n">
        <f aca="false">IFERROR('원자료(월별지수)'!AQ40/'원자료(월별지수)'!AP40-1,"")</f>
        <v>0</v>
      </c>
      <c r="AO40" s="12" t="n">
        <f aca="false">IFERROR('원자료(월별지수)'!AR40/'원자료(월별지수)'!AQ40-1,"")</f>
        <v>-0.00657956574866059</v>
      </c>
      <c r="AP40" s="12" t="n">
        <f aca="false">IFERROR('원자료(월별지수)'!AS40/'원자료(월별지수)'!AR40-1,"")</f>
        <v>0</v>
      </c>
      <c r="AQ40" s="12" t="n">
        <f aca="false">IFERROR('원자료(월별지수)'!AT40/'원자료(월별지수)'!AS40-1,"")</f>
        <v>0</v>
      </c>
      <c r="AR40" s="12" t="n">
        <f aca="false">IFERROR('원자료(월별지수)'!AU40/'원자료(월별지수)'!AT40-1,"")</f>
        <v>-0.00406850222348365</v>
      </c>
      <c r="AS40" s="12" t="n">
        <f aca="false">IFERROR('원자료(월별지수)'!AV40/'원자료(월별지수)'!AU40-1,"")</f>
        <v>0</v>
      </c>
      <c r="AT40" s="12" t="n">
        <f aca="false">IFERROR('원자료(월별지수)'!AW40/'원자료(월별지수)'!AV40-1,"")</f>
        <v>0</v>
      </c>
      <c r="AU40" s="12" t="n">
        <f aca="false">IFERROR('원자료(월별지수)'!AX40/'원자료(월별지수)'!AW40-1,"")</f>
        <v>-0.014915447463424</v>
      </c>
      <c r="AV40" s="12" t="n">
        <f aca="false">IFERROR('원자료(월별지수)'!AY40/'원자료(월별지수)'!AX40-1,"")</f>
        <v>0</v>
      </c>
      <c r="AW40" s="12" t="n">
        <f aca="false">IFERROR('원자료(월별지수)'!AZ40/'원자료(월별지수)'!AY40-1,"")</f>
        <v>0</v>
      </c>
      <c r="AX40" s="12" t="n">
        <f aca="false">IFERROR('원자료(월별지수)'!BA40/'원자료(월별지수)'!AZ40-1,"")</f>
        <v>-0.00231459157102898</v>
      </c>
      <c r="AY40" s="12" t="n">
        <f aca="false">IFERROR('원자료(월별지수)'!BB40/'원자료(월별지수)'!BA40-1,"")</f>
        <v>0</v>
      </c>
      <c r="AZ40" s="12" t="n">
        <f aca="false">IFERROR('원자료(월별지수)'!BC40/'원자료(월별지수)'!BB40-1,"")</f>
        <v>0</v>
      </c>
      <c r="BA40" s="12" t="n">
        <f aca="false">IFERROR('원자료(월별지수)'!BD40/'원자료(월별지수)'!BC40-1,"")</f>
        <v>-0.000386660222329693</v>
      </c>
      <c r="BB40" s="12" t="n">
        <f aca="false">IFERROR('원자료(월별지수)'!BE40/'원자료(월별지수)'!BD40-1,"")</f>
        <v>0</v>
      </c>
      <c r="BC40" s="12" t="n">
        <f aca="false">IFERROR('원자료(월별지수)'!BF40/'원자료(월별지수)'!BE40-1,"")</f>
        <v>0</v>
      </c>
      <c r="BD40" s="12" t="n">
        <f aca="false">IFERROR('원자료(월별지수)'!BG40/'원자료(월별지수)'!BF40-1,"")</f>
        <v>0.00251426361086948</v>
      </c>
      <c r="BE40" s="12" t="n">
        <f aca="false">IFERROR('원자료(월별지수)'!BH40/'원자료(월별지수)'!BG40-1,"")</f>
        <v>0</v>
      </c>
      <c r="BF40" s="12" t="n">
        <f aca="false">IFERROR('원자료(월별지수)'!BI40/'원자료(월별지수)'!BH40-1,"")</f>
        <v>0</v>
      </c>
      <c r="BG40" s="12" t="n">
        <f aca="false">IFERROR('원자료(월별지수)'!BJ40/'원자료(월별지수)'!BI40-1,"")</f>
        <v>-0.00231503810166867</v>
      </c>
      <c r="BH40" s="12" t="n">
        <f aca="false">IFERROR('원자료(월별지수)'!BK40/'원자료(월별지수)'!BJ40-1,"")</f>
        <v>0</v>
      </c>
      <c r="BI40" s="12" t="n">
        <f aca="false">IFERROR('원자료(월별지수)'!BL40/'원자료(월별지수)'!BK40-1,"")</f>
        <v>0</v>
      </c>
      <c r="BJ40" s="12" t="n">
        <f aca="false">IFERROR('원자료(월별지수)'!BM40/'원자료(월별지수)'!BL40-1,"")</f>
        <v>-0.00831480228173653</v>
      </c>
      <c r="BK40" s="12" t="n">
        <f aca="false">IFERROR('원자료(월별지수)'!BN40/'원자료(월별지수)'!BM40-1,"")</f>
        <v>0</v>
      </c>
      <c r="BL40" s="12" t="n">
        <f aca="false">IFERROR('원자료(월별지수)'!BO40/'원자료(월별지수)'!BN40-1,"")</f>
        <v>0</v>
      </c>
      <c r="BM40" s="12" t="n">
        <f aca="false">IFERROR('원자료(월별지수)'!BP40/'원자료(월별지수)'!BO40-1,"")</f>
        <v>0.00272984303402546</v>
      </c>
      <c r="BN40" s="12" t="n">
        <f aca="false">IFERROR('원자료(월별지수)'!BQ40/'원자료(월별지수)'!BP40-1,"")</f>
        <v>0</v>
      </c>
    </row>
    <row r="41" customFormat="false" ht="15" hidden="false" customHeight="false" outlineLevel="0" collapsed="false">
      <c r="A41" s="8" t="s">
        <v>131</v>
      </c>
      <c r="B41" s="9" t="s">
        <v>133</v>
      </c>
      <c r="C41" s="12" t="n">
        <f aca="false">IFERROR('원자료(월별지수)'!F41/'원자료(월별지수)'!E41-1,"")</f>
        <v>-0.0882480173035328</v>
      </c>
      <c r="D41" s="12" t="n">
        <f aca="false">IFERROR('원자료(월별지수)'!G41/'원자료(월별지수)'!F41-1,"")</f>
        <v>-0.140281511940535</v>
      </c>
      <c r="E41" s="12" t="n">
        <f aca="false">IFERROR('원자료(월별지수)'!H41/'원자료(월별지수)'!G41-1,"")</f>
        <v>-0.162067696835909</v>
      </c>
      <c r="F41" s="12" t="n">
        <f aca="false">IFERROR('원자료(월별지수)'!I41/'원자료(월별지수)'!H41-1,"")</f>
        <v>-0.0746432491767288</v>
      </c>
      <c r="G41" s="12" t="n">
        <f aca="false">IFERROR('원자료(월별지수)'!J41/'원자료(월별지수)'!I41-1,"")</f>
        <v>0.0996441281138791</v>
      </c>
      <c r="H41" s="12" t="n">
        <f aca="false">IFERROR('원자료(월별지수)'!K41/'원자료(월별지수)'!J41-1,"")</f>
        <v>0.434735706580367</v>
      </c>
      <c r="I41" s="12" t="n">
        <f aca="false">IFERROR('원자료(월별지수)'!L41/'원자료(월별지수)'!K41-1,"")</f>
        <v>0.263308270676692</v>
      </c>
      <c r="J41" s="12" t="n">
        <f aca="false">IFERROR('원자료(월별지수)'!M41/'원자료(월별지수)'!L41-1,"")</f>
        <v>0.169146530174979</v>
      </c>
      <c r="K41" s="12" t="n">
        <f aca="false">IFERROR('원자료(월별지수)'!N41/'원자료(월별지수)'!M41-1,"")</f>
        <v>-0.488240684178375</v>
      </c>
      <c r="L41" s="12" t="n">
        <f aca="false">IFERROR('원자료(월별지수)'!O41/'원자료(월별지수)'!N41-1,"")</f>
        <v>0.0136277728041381</v>
      </c>
      <c r="M41" s="12" t="n">
        <f aca="false">IFERROR('원자료(월별지수)'!P41/'원자료(월별지수)'!O41-1,"")</f>
        <v>0.16594700686948</v>
      </c>
      <c r="N41" s="12" t="n">
        <f aca="false">IFERROR('원자료(월별지수)'!Q41/'원자료(월별지수)'!P41-1,"")</f>
        <v>0.178688662570491</v>
      </c>
      <c r="O41" s="12" t="n">
        <f aca="false">IFERROR('원자료(월별지수)'!R41/'원자료(월별지수)'!Q41-1,"")</f>
        <v>0.00478434732933453</v>
      </c>
      <c r="P41" s="12" t="n">
        <f aca="false">IFERROR('원자료(월별지수)'!S41/'원자료(월별지수)'!R41-1,"")</f>
        <v>-0.103404164593846</v>
      </c>
      <c r="Q41" s="12" t="n">
        <f aca="false">IFERROR('원자료(월별지수)'!T41/'원자료(월별지수)'!S41-1,"")</f>
        <v>-0.0615884590995561</v>
      </c>
      <c r="R41" s="12" t="n">
        <f aca="false">IFERROR('원자료(월별지수)'!U41/'원자료(월별지수)'!T41-1,"")</f>
        <v>0.0770335332376047</v>
      </c>
      <c r="S41" s="12" t="n">
        <f aca="false">IFERROR('원자료(월별지수)'!V41/'원자료(월별지수)'!U41-1,"")</f>
        <v>0.0624264763547957</v>
      </c>
      <c r="T41" s="12" t="n">
        <f aca="false">IFERROR('원자료(월별지수)'!W41/'원자료(월별지수)'!V41-1,"")</f>
        <v>0.319258876504023</v>
      </c>
      <c r="U41" s="12" t="n">
        <f aca="false">IFERROR('원자료(월별지수)'!X41/'원자료(월별지수)'!W41-1,"")</f>
        <v>0.0949529991047449</v>
      </c>
      <c r="V41" s="12" t="n">
        <f aca="false">IFERROR('원자료(월별지수)'!Y41/'원자료(월별지수)'!X41-1,"")</f>
        <v>0.0606060606060608</v>
      </c>
      <c r="W41" s="12" t="n">
        <f aca="false">IFERROR('원자료(월별지수)'!Z41/'원자료(월별지수)'!Y41-1,"")</f>
        <v>-0.519392917369309</v>
      </c>
      <c r="X41" s="12" t="n">
        <f aca="false">IFERROR('원자료(월별지수)'!AA41/'원자료(월별지수)'!Z41-1,"")</f>
        <v>-0.135438596491228</v>
      </c>
      <c r="Y41" s="12" t="n">
        <f aca="false">IFERROR('원자료(월별지수)'!AB41/'원자료(월별지수)'!AA41-1,"")</f>
        <v>0.615839517625232</v>
      </c>
      <c r="Z41" s="12" t="n">
        <f aca="false">IFERROR('원자료(월별지수)'!AC41/'원자료(월별지수)'!AB41-1,"")</f>
        <v>0.424183710082526</v>
      </c>
      <c r="AA41" s="12" t="n">
        <f aca="false">IFERROR('원자료(월별지수)'!AD41/'원자료(월별지수)'!AC41-1,"")</f>
        <v>-0.166381134737479</v>
      </c>
      <c r="AB41" s="12" t="n">
        <f aca="false">IFERROR('원자료(월별지수)'!AE41/'원자료(월별지수)'!AD41-1,"")</f>
        <v>-0.234586557059961</v>
      </c>
      <c r="AC41" s="12" t="n">
        <f aca="false">IFERROR('원자료(월별지수)'!AF41/'원자료(월별지수)'!AE41-1,"")</f>
        <v>-0.0416962805022507</v>
      </c>
      <c r="AD41" s="12" t="n">
        <f aca="false">IFERROR('원자료(월별지수)'!AG41/'원자료(월별지수)'!AF41-1,"")</f>
        <v>0.10902348578492</v>
      </c>
      <c r="AE41" s="12" t="n">
        <f aca="false">IFERROR('원자료(월별지수)'!AH41/'원자료(월별지수)'!AG41-1,"")</f>
        <v>-0.371303314013969</v>
      </c>
      <c r="AF41" s="12" t="n">
        <f aca="false">IFERROR('원자료(월별지수)'!AI41/'원자료(월별지수)'!AH41-1,"")</f>
        <v>1.12208958751921</v>
      </c>
      <c r="AG41" s="12" t="n">
        <f aca="false">IFERROR('원자료(월별지수)'!AJ41/'원자료(월별지수)'!AI41-1,"")</f>
        <v>0.484433305485937</v>
      </c>
      <c r="AH41" s="12" t="n">
        <f aca="false">IFERROR('원자료(월별지수)'!AK41/'원자료(월별지수)'!AJ41-1,"")</f>
        <v>0.0476119010993137</v>
      </c>
      <c r="AI41" s="12" t="n">
        <f aca="false">IFERROR('원자료(월별지수)'!AL41/'원자료(월별지수)'!AK41-1,"")</f>
        <v>-0.506410715564788</v>
      </c>
      <c r="AJ41" s="12" t="n">
        <f aca="false">IFERROR('원자료(월별지수)'!AM41/'원자료(월별지수)'!AL41-1,"")</f>
        <v>-0.352778987084603</v>
      </c>
      <c r="AK41" s="12" t="n">
        <f aca="false">IFERROR('원자료(월별지수)'!AN41/'원자료(월별지수)'!AM41-1,"")</f>
        <v>0.94304932735426</v>
      </c>
      <c r="AL41" s="12" t="n">
        <f aca="false">IFERROR('원자료(월별지수)'!AO41/'원자료(월별지수)'!AN41-1,"")</f>
        <v>0.00519270713131781</v>
      </c>
      <c r="AM41" s="12" t="n">
        <f aca="false">IFERROR('원자료(월별지수)'!AP41/'원자료(월별지수)'!AO41-1,"")</f>
        <v>-0.111525657215016</v>
      </c>
      <c r="AN41" s="12" t="n">
        <f aca="false">IFERROR('원자료(월별지수)'!AQ41/'원자료(월별지수)'!AP41-1,"")</f>
        <v>0.147167129659539</v>
      </c>
      <c r="AO41" s="12" t="n">
        <f aca="false">IFERROR('원자료(월별지수)'!AR41/'원자료(월별지수)'!AQ41-1,"")</f>
        <v>-0.28276172776933</v>
      </c>
      <c r="AP41" s="12" t="n">
        <f aca="false">IFERROR('원자료(월별지수)'!AS41/'원자료(월별지수)'!AR41-1,"")</f>
        <v>0.0946922110552764</v>
      </c>
      <c r="AQ41" s="12" t="n">
        <f aca="false">IFERROR('원자료(월별지수)'!AT41/'원자료(월별지수)'!AS41-1,"")</f>
        <v>-0.271481853392627</v>
      </c>
      <c r="AR41" s="12" t="n">
        <f aca="false">IFERROR('원자료(월별지수)'!AU41/'원자료(월별지수)'!AT41-1,"")</f>
        <v>0.533720586787437</v>
      </c>
      <c r="AS41" s="12" t="n">
        <f aca="false">IFERROR('원자료(월별지수)'!AV41/'원자료(월별지수)'!AU41-1,"")</f>
        <v>1.33990242649891</v>
      </c>
      <c r="AT41" s="12" t="n">
        <f aca="false">IFERROR('원자료(월별지수)'!AW41/'원자료(월별지수)'!AV41-1,"")</f>
        <v>0.0690790376121369</v>
      </c>
      <c r="AU41" s="12" t="n">
        <f aca="false">IFERROR('원자료(월별지수)'!AX41/'원자료(월별지수)'!AW41-1,"")</f>
        <v>-0.403885139469835</v>
      </c>
      <c r="AV41" s="12" t="n">
        <f aca="false">IFERROR('원자료(월별지수)'!AY41/'원자료(월별지수)'!AX41-1,"")</f>
        <v>-0.591046061127852</v>
      </c>
      <c r="AW41" s="12" t="n">
        <f aca="false">IFERROR('원자료(월별지수)'!AZ41/'원자료(월별지수)'!AY41-1,"")</f>
        <v>0.11821052631579</v>
      </c>
      <c r="AX41" s="12" t="n">
        <f aca="false">IFERROR('원자료(월별지수)'!BA41/'원자료(월별지수)'!AZ41-1,"")</f>
        <v>0.358938153064106</v>
      </c>
      <c r="AY41" s="12" t="n">
        <f aca="false">IFERROR('원자료(월별지수)'!BB41/'원자료(월별지수)'!BA41-1,"")</f>
        <v>0.133139373787753</v>
      </c>
      <c r="AZ41" s="12" t="n">
        <f aca="false">IFERROR('원자료(월별지수)'!BC41/'원자료(월별지수)'!BB41-1,"")</f>
        <v>-0.045360068468028</v>
      </c>
      <c r="BA41" s="12" t="n">
        <f aca="false">IFERROR('원자료(월별지수)'!BD41/'원자료(월별지수)'!BC41-1,"")</f>
        <v>-0.257556352459016</v>
      </c>
      <c r="BB41" s="12" t="n">
        <f aca="false">IFERROR('원자료(월별지수)'!BE41/'원자료(월별지수)'!BD41-1,"")</f>
        <v>0.241417974814559</v>
      </c>
      <c r="BC41" s="12" t="n">
        <f aca="false">IFERROR('원자료(월별지수)'!BF41/'원자료(월별지수)'!BE41-1,"")</f>
        <v>-0.0554436184256237</v>
      </c>
      <c r="BD41" s="12" t="n">
        <f aca="false">IFERROR('원자료(월별지수)'!BG41/'원자료(월별지수)'!BF41-1,"")</f>
        <v>0.439499816108864</v>
      </c>
      <c r="BE41" s="12" t="n">
        <f aca="false">IFERROR('원자료(월별지수)'!BH41/'원자료(월별지수)'!BG41-1,"")</f>
        <v>0.388196218702095</v>
      </c>
      <c r="BF41" s="12" t="n">
        <f aca="false">IFERROR('원자료(월별지수)'!BI41/'원자료(월별지수)'!BH41-1,"")</f>
        <v>0.0787352302425737</v>
      </c>
      <c r="BG41" s="12" t="n">
        <f aca="false">IFERROR('원자료(월별지수)'!BJ41/'원자료(월별지수)'!BI41-1,"")</f>
        <v>-0.473793762369481</v>
      </c>
      <c r="BH41" s="12" t="n">
        <f aca="false">IFERROR('원자료(월별지수)'!BK41/'원자료(월별지수)'!BJ41-1,"")</f>
        <v>-0.364632643797419</v>
      </c>
      <c r="BI41" s="12" t="n">
        <f aca="false">IFERROR('원자료(월별지수)'!BL41/'원자료(월별지수)'!BK41-1,"")</f>
        <v>0.129005919575424</v>
      </c>
      <c r="BJ41" s="12" t="n">
        <f aca="false">IFERROR('원자료(월별지수)'!BM41/'원자료(월별지수)'!BL41-1,"")</f>
        <v>0.429578738022057</v>
      </c>
      <c r="BK41" s="12" t="n">
        <f aca="false">IFERROR('원자료(월별지수)'!BN41/'원자료(월별지수)'!BM41-1,"")</f>
        <v>-0.00803085873276832</v>
      </c>
      <c r="BL41" s="12" t="n">
        <f aca="false">IFERROR('원자료(월별지수)'!BO41/'원자료(월별지수)'!BN41-1,"")</f>
        <v>-0.281953209664053</v>
      </c>
      <c r="BM41" s="12" t="n">
        <f aca="false">IFERROR('원자료(월별지수)'!BP41/'원자료(월별지수)'!BO41-1,"")</f>
        <v>0.0615234375</v>
      </c>
      <c r="BN41" s="12" t="n">
        <f aca="false">IFERROR('원자료(월별지수)'!BQ41/'원자료(월별지수)'!BP41-1,"")</f>
        <v>-0.0157230074433385</v>
      </c>
    </row>
    <row r="42" customFormat="false" ht="15" hidden="false" customHeight="false" outlineLevel="0" collapsed="false">
      <c r="A42" s="8" t="s">
        <v>131</v>
      </c>
      <c r="B42" s="9" t="s">
        <v>134</v>
      </c>
      <c r="C42" s="12" t="n">
        <f aca="false">IFERROR('원자료(월별지수)'!F42/'원자료(월별지수)'!E42-1,"")</f>
        <v>-0.0473433560556542</v>
      </c>
      <c r="D42" s="12" t="n">
        <f aca="false">IFERROR('원자료(월별지수)'!G42/'원자료(월별지수)'!F42-1,"")</f>
        <v>0.0520486179180553</v>
      </c>
      <c r="E42" s="12" t="n">
        <f aca="false">IFERROR('원자료(월별지수)'!H42/'원자료(월별지수)'!G42-1,"")</f>
        <v>0.0194726544302619</v>
      </c>
      <c r="F42" s="12" t="n">
        <f aca="false">IFERROR('원자료(월별지수)'!I42/'원자료(월별지수)'!H42-1,"")</f>
        <v>0.0093218789983549</v>
      </c>
      <c r="G42" s="12" t="n">
        <f aca="false">IFERROR('원자료(월별지수)'!J42/'원자료(월별지수)'!I42-1,"")</f>
        <v>0.158638174574429</v>
      </c>
      <c r="H42" s="12" t="n">
        <f aca="false">IFERROR('원자료(월별지수)'!K42/'원자료(월별지수)'!J42-1,"")</f>
        <v>0</v>
      </c>
      <c r="I42" s="12" t="n">
        <f aca="false">IFERROR('원자료(월별지수)'!L42/'원자료(월별지수)'!K42-1,"")</f>
        <v>0</v>
      </c>
      <c r="J42" s="12" t="n">
        <f aca="false">IFERROR('원자료(월별지수)'!M42/'원자료(월별지수)'!L42-1,"")</f>
        <v>-0.222413254141919</v>
      </c>
      <c r="K42" s="12" t="n">
        <f aca="false">IFERROR('원자료(월별지수)'!N42/'원자료(월별지수)'!M42-1,"")</f>
        <v>-0.0706532663316583</v>
      </c>
      <c r="L42" s="12" t="n">
        <f aca="false">IFERROR('원자료(월별지수)'!O42/'원자료(월별지수)'!N42-1,"")</f>
        <v>-0.0161133340542878</v>
      </c>
      <c r="M42" s="12" t="n">
        <f aca="false">IFERROR('원자료(월별지수)'!P42/'원자료(월별지수)'!O42-1,"")</f>
        <v>0.0331941085952956</v>
      </c>
      <c r="N42" s="12" t="n">
        <f aca="false">IFERROR('원자료(월별지수)'!Q42/'원자료(월별지수)'!P42-1,"")</f>
        <v>0.0343617021276597</v>
      </c>
      <c r="O42" s="12" t="n">
        <f aca="false">IFERROR('원자료(월별지수)'!R42/'원자료(월별지수)'!Q42-1,"")</f>
        <v>0.0291062429291371</v>
      </c>
      <c r="P42" s="12" t="n">
        <f aca="false">IFERROR('원자료(월별지수)'!S42/'원자료(월별지수)'!R42-1,"")</f>
        <v>-0.0389766140315812</v>
      </c>
      <c r="Q42" s="12" t="n">
        <f aca="false">IFERROR('원자료(월별지수)'!T42/'원자료(월별지수)'!S42-1,"")</f>
        <v>0.199459234608985</v>
      </c>
      <c r="R42" s="12" t="n">
        <f aca="false">IFERROR('원자료(월별지수)'!U42/'원자료(월별지수)'!T42-1,"")</f>
        <v>-0.209987861973296</v>
      </c>
      <c r="S42" s="12" t="n">
        <f aca="false">IFERROR('원자료(월별지수)'!V42/'원자료(월별지수)'!U42-1,"")</f>
        <v>0</v>
      </c>
      <c r="T42" s="12" t="n">
        <f aca="false">IFERROR('원자료(월별지수)'!W42/'원자료(월별지수)'!V42-1,"")</f>
        <v>0</v>
      </c>
      <c r="U42" s="12" t="n">
        <f aca="false">IFERROR('원자료(월별지수)'!X42/'원자료(월별지수)'!W42-1,"")</f>
        <v>0</v>
      </c>
      <c r="V42" s="12" t="n">
        <f aca="false">IFERROR('원자료(월별지수)'!Y42/'원자료(월별지수)'!X42-1,"")</f>
        <v>-0.0142669007901669</v>
      </c>
      <c r="W42" s="12" t="n">
        <f aca="false">IFERROR('원자료(월별지수)'!Z42/'원자료(월별지수)'!Y42-1,"")</f>
        <v>0.0887330215987532</v>
      </c>
      <c r="X42" s="12" t="n">
        <f aca="false">IFERROR('원자료(월별지수)'!AA42/'원자료(월별지수)'!Z42-1,"")</f>
        <v>0.0445853359239186</v>
      </c>
      <c r="Y42" s="12" t="n">
        <f aca="false">IFERROR('원자료(월별지수)'!AB42/'원자료(월별지수)'!AA42-1,"")</f>
        <v>0.105139500734214</v>
      </c>
      <c r="Z42" s="12" t="n">
        <f aca="false">IFERROR('원자료(월별지수)'!AC42/'원자료(월별지수)'!AB42-1,"")</f>
        <v>-0.0302063956063424</v>
      </c>
      <c r="AA42" s="12" t="n">
        <f aca="false">IFERROR('원자료(월별지수)'!AD42/'원자료(월별지수)'!AC42-1,"")</f>
        <v>0.0058458165875046</v>
      </c>
      <c r="AB42" s="12" t="n">
        <f aca="false">IFERROR('원자료(월별지수)'!AE42/'원자료(월별지수)'!AD42-1,"")</f>
        <v>0.0153468942971304</v>
      </c>
      <c r="AC42" s="12" t="n">
        <f aca="false">IFERROR('원자료(월별지수)'!AF42/'원자료(월별지수)'!AE42-1,"")</f>
        <v>0.0143099901618817</v>
      </c>
      <c r="AD42" s="12" t="n">
        <f aca="false">IFERROR('원자료(월별지수)'!AG42/'원자료(월별지수)'!AF42-1,"")</f>
        <v>0.0138435764041973</v>
      </c>
      <c r="AE42" s="12" t="n">
        <f aca="false">IFERROR('원자료(월별지수)'!AH42/'원자료(월별지수)'!AG42-1,"")</f>
        <v>0.00861019307705679</v>
      </c>
      <c r="AF42" s="12" t="n">
        <f aca="false">IFERROR('원자료(월별지수)'!AI42/'원자료(월별지수)'!AH42-1,"")</f>
        <v>0</v>
      </c>
      <c r="AG42" s="12" t="n">
        <f aca="false">IFERROR('원자료(월별지수)'!AJ42/'원자료(월별지수)'!AI42-1,"")</f>
        <v>0</v>
      </c>
      <c r="AH42" s="12" t="n">
        <f aca="false">IFERROR('원자료(월별지수)'!AK42/'원자료(월별지수)'!AJ42-1,"")</f>
        <v>-0.100715702336811</v>
      </c>
      <c r="AI42" s="12" t="n">
        <f aca="false">IFERROR('원자료(월별지수)'!AL42/'원자료(월별지수)'!AK42-1,"")</f>
        <v>-0.052258126378368</v>
      </c>
      <c r="AJ42" s="12" t="n">
        <f aca="false">IFERROR('원자료(월별지수)'!AM42/'원자료(월별지수)'!AL42-1,"")</f>
        <v>0.0556454876568191</v>
      </c>
      <c r="AK42" s="12" t="n">
        <f aca="false">IFERROR('원자료(월별지수)'!AN42/'원자료(월별지수)'!AM42-1,"")</f>
        <v>0.0468660149511213</v>
      </c>
      <c r="AL42" s="12" t="n">
        <f aca="false">IFERROR('원자료(월별지수)'!AO42/'원자료(월별지수)'!AN42-1,"")</f>
        <v>0.096218987457658</v>
      </c>
      <c r="AM42" s="12" t="n">
        <f aca="false">IFERROR('원자료(월별지수)'!AP42/'원자료(월별지수)'!AO42-1,"")</f>
        <v>-0.0283948555202939</v>
      </c>
      <c r="AN42" s="12" t="n">
        <f aca="false">IFERROR('원자료(월별지수)'!AQ42/'원자료(월별지수)'!AP42-1,"")</f>
        <v>0.0834622657727351</v>
      </c>
      <c r="AO42" s="12" t="n">
        <f aca="false">IFERROR('원자료(월별지수)'!AR42/'원자료(월별지수)'!AQ42-1,"")</f>
        <v>0</v>
      </c>
      <c r="AP42" s="12" t="n">
        <f aca="false">IFERROR('원자료(월별지수)'!AS42/'원자료(월별지수)'!AR42-1,"")</f>
        <v>0</v>
      </c>
      <c r="AQ42" s="12" t="n">
        <f aca="false">IFERROR('원자료(월별지수)'!AT42/'원자료(월별지수)'!AS42-1,"")</f>
        <v>0</v>
      </c>
      <c r="AR42" s="12" t="n">
        <f aca="false">IFERROR('원자료(월별지수)'!AU42/'원자료(월별지수)'!AT42-1,"")</f>
        <v>0</v>
      </c>
      <c r="AS42" s="12" t="n">
        <f aca="false">IFERROR('원자료(월별지수)'!AV42/'원자료(월별지수)'!AU42-1,"")</f>
        <v>0</v>
      </c>
      <c r="AT42" s="12" t="n">
        <f aca="false">IFERROR('원자료(월별지수)'!AW42/'원자료(월별지수)'!AV42-1,"")</f>
        <v>-0.144783815946053</v>
      </c>
      <c r="AU42" s="12" t="n">
        <f aca="false">IFERROR('원자료(월별지수)'!AX42/'원자료(월별지수)'!AW42-1,"")</f>
        <v>-0.012152133580705</v>
      </c>
      <c r="AV42" s="12" t="n">
        <f aca="false">IFERROR('원자료(월별지수)'!AY42/'원자료(월별지수)'!AX42-1,"")</f>
        <v>0.0635740445112218</v>
      </c>
      <c r="AW42" s="12" t="n">
        <f aca="false">IFERROR('원자료(월별지수)'!AZ42/'원자료(월별지수)'!AY42-1,"")</f>
        <v>-0.0535052092530461</v>
      </c>
      <c r="AX42" s="12" t="n">
        <f aca="false">IFERROR('원자료(월별지수)'!BA42/'원자료(월별지수)'!AZ42-1,"")</f>
        <v>0.159141791044776</v>
      </c>
      <c r="AY42" s="12" t="n">
        <f aca="false">IFERROR('원자료(월별지수)'!BB42/'원자료(월별지수)'!BA42-1,"")</f>
        <v>-0.0367777241268309</v>
      </c>
      <c r="AZ42" s="12" t="n">
        <f aca="false">IFERROR('원자료(월별지수)'!BC42/'원자료(월별지수)'!BB42-1,"")</f>
        <v>0.0451165510903167</v>
      </c>
      <c r="BA42" s="12" t="n">
        <f aca="false">IFERROR('원자료(월별지수)'!BD42/'원자료(월별지수)'!BC42-1,"")</f>
        <v>-0.012311135982093</v>
      </c>
      <c r="BB42" s="12" t="n">
        <f aca="false">IFERROR('원자료(월별지수)'!BE42/'원자료(월별지수)'!BD42-1,"")</f>
        <v>0</v>
      </c>
      <c r="BC42" s="12" t="n">
        <f aca="false">IFERROR('원자료(월별지수)'!BF42/'원자료(월별지수)'!BE42-1,"")</f>
        <v>0</v>
      </c>
      <c r="BD42" s="12" t="n">
        <f aca="false">IFERROR('원자료(월별지수)'!BG42/'원자료(월별지수)'!BF42-1,"")</f>
        <v>0</v>
      </c>
      <c r="BE42" s="12" t="n">
        <f aca="false">IFERROR('원자료(월별지수)'!BH42/'원자료(월별지수)'!BG42-1,"")</f>
        <v>0</v>
      </c>
      <c r="BF42" s="12" t="n">
        <f aca="false">IFERROR('원자료(월별지수)'!BI42/'원자료(월별지수)'!BH42-1,"")</f>
        <v>-0.0530959125859976</v>
      </c>
      <c r="BG42" s="12" t="n">
        <f aca="false">IFERROR('원자료(월별지수)'!BJ42/'원자료(월별지수)'!BI42-1,"")</f>
        <v>-0.0983844773057525</v>
      </c>
      <c r="BH42" s="12" t="n">
        <f aca="false">IFERROR('원자료(월별지수)'!BK42/'원자료(월별지수)'!BJ42-1,"")</f>
        <v>0.0491088357982554</v>
      </c>
      <c r="BI42" s="12" t="n">
        <f aca="false">IFERROR('원자료(월별지수)'!BL42/'원자료(월별지수)'!BK42-1,"")</f>
        <v>-0.117928790891017</v>
      </c>
      <c r="BJ42" s="12" t="n">
        <f aca="false">IFERROR('원자료(월별지수)'!BM42/'원자료(월별지수)'!BL42-1,"")</f>
        <v>0.098145681794898</v>
      </c>
      <c r="BK42" s="12" t="n">
        <f aca="false">IFERROR('원자료(월별지수)'!BN42/'원자료(월별지수)'!BM42-1,"")</f>
        <v>-0.0278943931336878</v>
      </c>
      <c r="BL42" s="12" t="n">
        <f aca="false">IFERROR('원자료(월별지수)'!BO42/'원자료(월별지수)'!BN42-1,"")</f>
        <v>0</v>
      </c>
      <c r="BM42" s="12" t="n">
        <f aca="false">IFERROR('원자료(월별지수)'!BP42/'원자료(월별지수)'!BO42-1,"")</f>
        <v>0</v>
      </c>
      <c r="BN42" s="12" t="n">
        <f aca="false">IFERROR('원자료(월별지수)'!BQ42/'원자료(월별지수)'!BP42-1,"")</f>
        <v>0</v>
      </c>
    </row>
    <row r="43" customFormat="false" ht="15" hidden="false" customHeight="false" outlineLevel="0" collapsed="false">
      <c r="A43" s="8" t="s">
        <v>135</v>
      </c>
      <c r="B43" s="9" t="s">
        <v>136</v>
      </c>
      <c r="C43" s="12" t="n">
        <f aca="false">IFERROR('원자료(월별지수)'!F43/'원자료(월별지수)'!E43-1,"")</f>
        <v>-0.171780189727374</v>
      </c>
      <c r="D43" s="12" t="n">
        <f aca="false">IFERROR('원자료(월별지수)'!G43/'원자료(월별지수)'!F43-1,"")</f>
        <v>-0.017851614900423</v>
      </c>
      <c r="E43" s="12" t="n">
        <f aca="false">IFERROR('원자료(월별지수)'!H43/'원자료(월별지수)'!G43-1,"")</f>
        <v>0.0674511451985711</v>
      </c>
      <c r="F43" s="12" t="n">
        <f aca="false">IFERROR('원자료(월별지수)'!I43/'원자료(월별지수)'!H43-1,"")</f>
        <v>-0.196161417322835</v>
      </c>
      <c r="G43" s="12" t="n">
        <f aca="false">IFERROR('원자료(월별지수)'!J43/'원자료(월별지수)'!I43-1,"")</f>
        <v>-0.300477531529325</v>
      </c>
      <c r="H43" s="12" t="n">
        <f aca="false">IFERROR('원자료(월별지수)'!K43/'원자료(월별지수)'!J43-1,"")</f>
        <v>0.642569578155085</v>
      </c>
      <c r="I43" s="12" t="n">
        <f aca="false">IFERROR('원자료(월별지수)'!L43/'원자료(월별지수)'!K43-1,"")</f>
        <v>0.0127877237851664</v>
      </c>
      <c r="J43" s="12" t="n">
        <f aca="false">IFERROR('원자료(월별지수)'!M43/'원자료(월별지수)'!L43-1,"")</f>
        <v>0.156355218855219</v>
      </c>
      <c r="K43" s="12" t="n">
        <f aca="false">IFERROR('원자료(월별지수)'!N43/'원자료(월별지수)'!M43-1,"")</f>
        <v>-0.184076433121019</v>
      </c>
      <c r="L43" s="12" t="n">
        <f aca="false">IFERROR('원자료(월별지수)'!O43/'원자료(월별지수)'!N43-1,"")</f>
        <v>-0.251477640236422</v>
      </c>
      <c r="M43" s="12" t="n">
        <f aca="false">IFERROR('원자료(월별지수)'!P43/'원자료(월별지수)'!O43-1,"")</f>
        <v>0.146305125148987</v>
      </c>
      <c r="N43" s="12" t="n">
        <f aca="false">IFERROR('원자료(월별지수)'!Q43/'원자료(월별지수)'!P43-1,"")</f>
        <v>0.516246425786327</v>
      </c>
      <c r="O43" s="12" t="n">
        <f aca="false">IFERROR('원자료(월별지수)'!R43/'원자료(월별지수)'!Q43-1,"")</f>
        <v>-0.0318018172466997</v>
      </c>
      <c r="P43" s="12" t="n">
        <f aca="false">IFERROR('원자료(월별지수)'!S43/'원자료(월별지수)'!R43-1,"")</f>
        <v>-0.1311199645861</v>
      </c>
      <c r="Q43" s="12" t="n">
        <f aca="false">IFERROR('원자료(월별지수)'!T43/'원자료(월별지수)'!S43-1,"")</f>
        <v>0.159058487874465</v>
      </c>
      <c r="R43" s="12" t="n">
        <f aca="false">IFERROR('원자료(월별지수)'!U43/'원자료(월별지수)'!T43-1,"")</f>
        <v>-0.302065934065934</v>
      </c>
      <c r="S43" s="12" t="n">
        <f aca="false">IFERROR('원자료(월별지수)'!V43/'원자료(월별지수)'!U43-1,"")</f>
        <v>-0.0233026829575512</v>
      </c>
      <c r="T43" s="12" t="n">
        <f aca="false">IFERROR('원자료(월별지수)'!W43/'원자료(월별지수)'!V43-1,"")</f>
        <v>0.269667268506577</v>
      </c>
      <c r="U43" s="12" t="n">
        <f aca="false">IFERROR('원자료(월별지수)'!X43/'원자료(월별지수)'!W43-1,"")</f>
        <v>0.428542407313357</v>
      </c>
      <c r="V43" s="12" t="n">
        <f aca="false">IFERROR('원자료(월별지수)'!Y43/'원자료(월별지수)'!X43-1,"")</f>
        <v>-0.181313993174061</v>
      </c>
      <c r="W43" s="12" t="n">
        <f aca="false">IFERROR('원자료(월별지수)'!Z43/'원자료(월별지수)'!Y43-1,"")</f>
        <v>0.00165016501650173</v>
      </c>
      <c r="X43" s="12" t="n">
        <f aca="false">IFERROR('원자료(월별지수)'!AA43/'원자료(월별지수)'!Z43-1,"")</f>
        <v>0.0899158935229343</v>
      </c>
      <c r="Y43" s="12" t="n">
        <f aca="false">IFERROR('원자료(월별지수)'!AB43/'원자료(월별지수)'!AA43-1,"")</f>
        <v>0.148210023866349</v>
      </c>
      <c r="Z43" s="12" t="n">
        <f aca="false">IFERROR('원자료(월별지수)'!AC43/'원자료(월별지수)'!AB43-1,"")</f>
        <v>-0.1078777800873</v>
      </c>
      <c r="AA43" s="12" t="n">
        <f aca="false">IFERROR('원자료(월별지수)'!AD43/'원자료(월별지수)'!AC43-1,"")</f>
        <v>-0.184218701460081</v>
      </c>
      <c r="AB43" s="12" t="n">
        <f aca="false">IFERROR('원자료(월별지수)'!AE43/'원자료(월별지수)'!AD43-1,"")</f>
        <v>-0.0496953541507998</v>
      </c>
      <c r="AC43" s="12" t="n">
        <f aca="false">IFERROR('원자료(월별지수)'!AF43/'원자료(월별지수)'!AE43-1,"")</f>
        <v>0.105389701462633</v>
      </c>
      <c r="AD43" s="12" t="n">
        <f aca="false">IFERROR('원자료(월별지수)'!AG43/'원자료(월별지수)'!AF43-1,"")</f>
        <v>-0.130143193764727</v>
      </c>
      <c r="AE43" s="12" t="n">
        <f aca="false">IFERROR('원자료(월별지수)'!AH43/'원자료(월별지수)'!AG43-1,"")</f>
        <v>-0.100750156282559</v>
      </c>
      <c r="AF43" s="12" t="n">
        <f aca="false">IFERROR('원자료(월별지수)'!AI43/'원자료(월별지수)'!AH43-1,"")</f>
        <v>0.16266944734098</v>
      </c>
      <c r="AG43" s="12" t="n">
        <f aca="false">IFERROR('원자료(월별지수)'!AJ43/'원자료(월별지수)'!AI43-1,"")</f>
        <v>0.0514200298953664</v>
      </c>
      <c r="AH43" s="12" t="n">
        <f aca="false">IFERROR('원자료(월별지수)'!AK43/'원자료(월별지수)'!AJ43-1,"")</f>
        <v>-0.171547720595204</v>
      </c>
      <c r="AI43" s="12" t="n">
        <f aca="false">IFERROR('원자료(월별지수)'!AL43/'원자료(월별지수)'!AK43-1,"")</f>
        <v>0.301338519620181</v>
      </c>
      <c r="AJ43" s="12" t="n">
        <f aca="false">IFERROR('원자료(월별지수)'!AM43/'원자료(월별지수)'!AL43-1,"")</f>
        <v>0.549010989010989</v>
      </c>
      <c r="AK43" s="12" t="n">
        <f aca="false">IFERROR('원자료(월별지수)'!AN43/'원자료(월별지수)'!AM43-1,"")</f>
        <v>-0.430817253121453</v>
      </c>
      <c r="AL43" s="12" t="n">
        <f aca="false">IFERROR('원자료(월별지수)'!AO43/'원자료(월별지수)'!AN43-1,"")</f>
        <v>0.231827699670954</v>
      </c>
      <c r="AM43" s="12" t="n">
        <f aca="false">IFERROR('원자료(월별지수)'!AP43/'원자료(월별지수)'!AO43-1,"")</f>
        <v>-0.127408126922454</v>
      </c>
      <c r="AN43" s="12" t="n">
        <f aca="false">IFERROR('원자료(월별지수)'!AQ43/'원자료(월별지수)'!AP43-1,"")</f>
        <v>0.0590909090909091</v>
      </c>
      <c r="AO43" s="12" t="n">
        <f aca="false">IFERROR('원자료(월별지수)'!AR43/'원자료(월별지수)'!AQ43-1,"")</f>
        <v>-0.142156433388806</v>
      </c>
      <c r="AP43" s="12" t="n">
        <f aca="false">IFERROR('원자료(월별지수)'!AS43/'원자료(월별지수)'!AR43-1,"")</f>
        <v>-0.459771288544007</v>
      </c>
      <c r="AQ43" s="12" t="n">
        <f aca="false">IFERROR('원자료(월별지수)'!AT43/'원자료(월별지수)'!AS43-1,"")</f>
        <v>0.922509922509923</v>
      </c>
      <c r="AR43" s="12" t="n">
        <f aca="false">IFERROR('원자료(월별지수)'!AU43/'원자료(월별지수)'!AT43-1,"")</f>
        <v>-0.0251671254423909</v>
      </c>
      <c r="AS43" s="12" t="n">
        <f aca="false">IFERROR('원자료(월별지수)'!AV43/'원자료(월별지수)'!AU43-1,"")</f>
        <v>-0.166498588140379</v>
      </c>
      <c r="AT43" s="12" t="n">
        <f aca="false">IFERROR('원자료(월별지수)'!AW43/'원자료(월별지수)'!AV43-1,"")</f>
        <v>0.202782819116757</v>
      </c>
      <c r="AU43" s="12" t="n">
        <f aca="false">IFERROR('원자료(월별지수)'!AX43/'원자료(월별지수)'!AW43-1,"")</f>
        <v>0.0693089226435972</v>
      </c>
      <c r="AV43" s="12" t="n">
        <f aca="false">IFERROR('원자료(월별지수)'!AY43/'원자료(월별지수)'!AX43-1,"")</f>
        <v>-0.31928504233302</v>
      </c>
      <c r="AW43" s="12" t="n">
        <f aca="false">IFERROR('원자료(월별지수)'!AZ43/'원자료(월별지수)'!AY43-1,"")</f>
        <v>0.618850193477059</v>
      </c>
      <c r="AX43" s="12" t="n">
        <f aca="false">IFERROR('원자료(월별지수)'!BA43/'원자료(월별지수)'!AZ43-1,"")</f>
        <v>-0.167918729725115</v>
      </c>
      <c r="AY43" s="12" t="n">
        <f aca="false">IFERROR('원자료(월별지수)'!BB43/'원자료(월별지수)'!BA43-1,"")</f>
        <v>0.107930645326767</v>
      </c>
      <c r="AZ43" s="12" t="n">
        <f aca="false">IFERROR('원자료(월별지수)'!BC43/'원자료(월별지수)'!BB43-1,"")</f>
        <v>-0.168534123529956</v>
      </c>
      <c r="BA43" s="12" t="n">
        <f aca="false">IFERROR('원자료(월별지수)'!BD43/'원자료(월별지수)'!BC43-1,"")</f>
        <v>0.0653747633366744</v>
      </c>
      <c r="BB43" s="12" t="n">
        <f aca="false">IFERROR('원자료(월별지수)'!BE43/'원자료(월별지수)'!BD43-1,"")</f>
        <v>0.0359606941250261</v>
      </c>
      <c r="BC43" s="12" t="n">
        <f aca="false">IFERROR('원자료(월별지수)'!BF43/'원자료(월별지수)'!BE43-1,"")</f>
        <v>-0.0808274470232088</v>
      </c>
      <c r="BD43" s="12" t="n">
        <f aca="false">IFERROR('원자료(월별지수)'!BG43/'원자료(월별지수)'!BF43-1,"")</f>
        <v>0.315841475463827</v>
      </c>
      <c r="BE43" s="12" t="n">
        <f aca="false">IFERROR('원자료(월별지수)'!BH43/'원자료(월별지수)'!BG43-1,"")</f>
        <v>0.0452194226597698</v>
      </c>
      <c r="BF43" s="12" t="n">
        <f aca="false">IFERROR('원자료(월별지수)'!BI43/'원자료(월별지수)'!BH43-1,"")</f>
        <v>0.0347222222222221</v>
      </c>
      <c r="BG43" s="12" t="n">
        <f aca="false">IFERROR('원자료(월별지수)'!BJ43/'원자료(월별지수)'!BI43-1,"")</f>
        <v>-0.00254570701226553</v>
      </c>
      <c r="BH43" s="12" t="n">
        <f aca="false">IFERROR('원자료(월별지수)'!BK43/'원자료(월별지수)'!BJ43-1,"")</f>
        <v>-0.325058004640371</v>
      </c>
      <c r="BI43" s="12" t="n">
        <f aca="false">IFERROR('원자료(월별지수)'!BL43/'원자료(월별지수)'!BK43-1,"")</f>
        <v>-0.135556319468317</v>
      </c>
      <c r="BJ43" s="12" t="n">
        <f aca="false">IFERROR('원자료(월별지수)'!BM43/'원자료(월별지수)'!BL43-1,"")</f>
        <v>0.420864262990456</v>
      </c>
      <c r="BK43" s="12" t="n">
        <f aca="false">IFERROR('원자료(월별지수)'!BN43/'원자료(월별지수)'!BM43-1,"")</f>
        <v>-0.086295363373449</v>
      </c>
      <c r="BL43" s="12" t="n">
        <f aca="false">IFERROR('원자료(월별지수)'!BO43/'원자료(월별지수)'!BN43-1,"")</f>
        <v>-0.126403920767817</v>
      </c>
      <c r="BM43" s="12" t="n">
        <f aca="false">IFERROR('원자료(월별지수)'!BP43/'원자료(월별지수)'!BO43-1,"")</f>
        <v>-0.139200561009818</v>
      </c>
      <c r="BN43" s="12" t="n">
        <f aca="false">IFERROR('원자료(월별지수)'!BQ43/'원자료(월별지수)'!BP43-1,"")</f>
        <v>0.0186014935505769</v>
      </c>
    </row>
    <row r="44" customFormat="false" ht="15" hidden="false" customHeight="false" outlineLevel="0" collapsed="false">
      <c r="A44" s="8" t="s">
        <v>135</v>
      </c>
      <c r="B44" s="9" t="s">
        <v>137</v>
      </c>
      <c r="C44" s="12" t="n">
        <f aca="false">IFERROR('원자료(월별지수)'!F44/'원자료(월별지수)'!E44-1,"")</f>
        <v>0.0108786610878662</v>
      </c>
      <c r="D44" s="12" t="n">
        <f aca="false">IFERROR('원자료(월별지수)'!G44/'원자료(월별지수)'!F44-1,"")</f>
        <v>0.117384105960265</v>
      </c>
      <c r="E44" s="12" t="n">
        <f aca="false">IFERROR('원자료(월별지수)'!H44/'원자료(월별지수)'!G44-1,"")</f>
        <v>-0.0100755667506296</v>
      </c>
      <c r="F44" s="12" t="n">
        <f aca="false">IFERROR('원자료(월별지수)'!I44/'원자료(월별지수)'!H44-1,"")</f>
        <v>-0.00553809309983544</v>
      </c>
      <c r="G44" s="12" t="n">
        <f aca="false">IFERROR('원자료(월별지수)'!J44/'원자료(월별지수)'!I44-1,"")</f>
        <v>0.110475617098134</v>
      </c>
      <c r="H44" s="12" t="n">
        <f aca="false">IFERROR('원자료(월별지수)'!K44/'원자료(월별지수)'!J44-1,"")</f>
        <v>-0.0283952290593656</v>
      </c>
      <c r="I44" s="12" t="n">
        <f aca="false">IFERROR('원자료(월별지수)'!L44/'원자료(월별지수)'!K44-1,"")</f>
        <v>-0.0642393806235615</v>
      </c>
      <c r="J44" s="12" t="n">
        <f aca="false">IFERROR('원자료(월별지수)'!M44/'원자료(월별지수)'!L44-1,"")</f>
        <v>0.0228085867620751</v>
      </c>
      <c r="K44" s="12" t="n">
        <f aca="false">IFERROR('원자료(월별지수)'!N44/'원자료(월별지수)'!M44-1,"")</f>
        <v>0.0431423990671913</v>
      </c>
      <c r="L44" s="12" t="n">
        <f aca="false">IFERROR('원자료(월별지수)'!O44/'원자료(월별지수)'!N44-1,"")</f>
        <v>0.0171161101019981</v>
      </c>
      <c r="M44" s="12" t="n">
        <f aca="false">IFERROR('원자료(월별지수)'!P44/'원자료(월별지수)'!O44-1,"")</f>
        <v>-0.012294800467065</v>
      </c>
      <c r="N44" s="12" t="n">
        <f aca="false">IFERROR('원자료(월별지수)'!Q44/'원자료(월별지수)'!P44-1,"")</f>
        <v>-0.0531988873435327</v>
      </c>
      <c r="O44" s="12" t="n">
        <f aca="false">IFERROR('원자료(월별지수)'!R44/'원자료(월별지수)'!Q44-1,"")</f>
        <v>-0.0942343004039663</v>
      </c>
      <c r="P44" s="12" t="n">
        <f aca="false">IFERROR('원자료(월별지수)'!S44/'원자료(월별지수)'!R44-1,"")</f>
        <v>-0.0269218293869608</v>
      </c>
      <c r="Q44" s="12" t="n">
        <f aca="false">IFERROR('원자료(월별지수)'!T44/'원자료(월별지수)'!S44-1,"")</f>
        <v>-0.000249999999999972</v>
      </c>
      <c r="R44" s="12" t="n">
        <f aca="false">IFERROR('원자료(월별지수)'!U44/'원자료(월별지수)'!T44-1,"")</f>
        <v>-0.0159206468283737</v>
      </c>
      <c r="S44" s="12" t="n">
        <f aca="false">IFERROR('원자료(월별지수)'!V44/'원자료(월별지수)'!U44-1,"")</f>
        <v>0.0398949686600034</v>
      </c>
      <c r="T44" s="12" t="n">
        <f aca="false">IFERROR('원자료(월별지수)'!W44/'원자료(월별지수)'!V44-1,"")</f>
        <v>0.0329885151095544</v>
      </c>
      <c r="U44" s="12" t="n">
        <f aca="false">IFERROR('원자료(월별지수)'!X44/'원자료(월별지수)'!W44-1,"")</f>
        <v>0.0305156915313043</v>
      </c>
      <c r="V44" s="12" t="n">
        <f aca="false">IFERROR('원자료(월별지수)'!Y44/'원자료(월별지수)'!X44-1,"")</f>
        <v>0.00382584742520464</v>
      </c>
      <c r="W44" s="12" t="n">
        <f aca="false">IFERROR('원자료(월별지수)'!Z44/'원자료(월별지수)'!Y44-1,"")</f>
        <v>0.00823233478161445</v>
      </c>
      <c r="X44" s="12" t="n">
        <f aca="false">IFERROR('원자료(월별지수)'!AA44/'원자료(월별지수)'!Z44-1,"")</f>
        <v>0.0467982157707718</v>
      </c>
      <c r="Y44" s="12" t="n">
        <f aca="false">IFERROR('원자료(월별지수)'!AB44/'원자료(월별지수)'!AA44-1,"")</f>
        <v>0.0052000577784197</v>
      </c>
      <c r="Z44" s="12" t="n">
        <f aca="false">IFERROR('원자료(월별지수)'!AC44/'원자료(월별지수)'!AB44-1,"")</f>
        <v>-0.0166690616467883</v>
      </c>
      <c r="AA44" s="12" t="n">
        <f aca="false">IFERROR('원자료(월별지수)'!AD44/'원자료(월별지수)'!AC44-1,"")</f>
        <v>-0.0516586292561744</v>
      </c>
      <c r="AB44" s="12" t="n">
        <f aca="false">IFERROR('원자료(월별지수)'!AE44/'원자료(월별지수)'!AD44-1,"")</f>
        <v>-0.0162570305878726</v>
      </c>
      <c r="AC44" s="12" t="n">
        <f aca="false">IFERROR('원자료(월별지수)'!AF44/'원자료(월별지수)'!AE44-1,"")</f>
        <v>0.0408051378446113</v>
      </c>
      <c r="AD44" s="12" t="n">
        <f aca="false">IFERROR('원자료(월별지수)'!AG44/'원자료(월별지수)'!AF44-1,"")</f>
        <v>-0.0103845285574535</v>
      </c>
      <c r="AE44" s="12" t="n">
        <f aca="false">IFERROR('원자료(월별지수)'!AH44/'원자료(월별지수)'!AG44-1,"")</f>
        <v>0.0450916280130789</v>
      </c>
      <c r="AF44" s="12" t="n">
        <f aca="false">IFERROR('원자료(월별지수)'!AI44/'원자료(월별지수)'!AH44-1,"")</f>
        <v>-0.0353608847497089</v>
      </c>
      <c r="AG44" s="12" t="n">
        <f aca="false">IFERROR('원자료(월별지수)'!AJ44/'원자료(월별지수)'!AI44-1,"")</f>
        <v>0.0304721677477748</v>
      </c>
      <c r="AH44" s="12" t="n">
        <f aca="false">IFERROR('원자료(월별지수)'!AK44/'원자료(월별지수)'!AJ44-1,"")</f>
        <v>0.011125750256185</v>
      </c>
      <c r="AI44" s="12" t="n">
        <f aca="false">IFERROR('원자료(월별지수)'!AL44/'원자료(월별지수)'!AK44-1,"")</f>
        <v>0.0475604459244248</v>
      </c>
      <c r="AJ44" s="12" t="n">
        <f aca="false">IFERROR('원자료(월별지수)'!AM44/'원자료(월별지수)'!AL44-1,"")</f>
        <v>0.0315112984589869</v>
      </c>
      <c r="AK44" s="12" t="n">
        <f aca="false">IFERROR('원자료(월별지수)'!AN44/'원자료(월별지수)'!AM44-1,"")</f>
        <v>-0.0126616198834328</v>
      </c>
      <c r="AL44" s="12" t="n">
        <f aca="false">IFERROR('원자료(월별지수)'!AO44/'원자료(월별지수)'!AN44-1,"")</f>
        <v>-0.0487854525715836</v>
      </c>
      <c r="AM44" s="12" t="n">
        <f aca="false">IFERROR('원자료(월별지수)'!AP44/'원자료(월별지수)'!AO44-1,"")</f>
        <v>-0.00663385405521089</v>
      </c>
      <c r="AN44" s="12" t="n">
        <f aca="false">IFERROR('원자료(월별지수)'!AQ44/'원자료(월별지수)'!AP44-1,"")</f>
        <v>-0.0417205227631768</v>
      </c>
      <c r="AO44" s="12" t="n">
        <f aca="false">IFERROR('원자료(월별지수)'!AR44/'원자료(월별지수)'!AQ44-1,"")</f>
        <v>-0.0390408392656424</v>
      </c>
      <c r="AP44" s="12" t="n">
        <f aca="false">IFERROR('원자료(월별지수)'!AS44/'원자료(월별지수)'!AR44-1,"")</f>
        <v>-0.00701809107922646</v>
      </c>
      <c r="AQ44" s="12" t="n">
        <f aca="false">IFERROR('원자료(월별지수)'!AT44/'원자료(월별지수)'!AS44-1,"")</f>
        <v>0.114182503533846</v>
      </c>
      <c r="AR44" s="12" t="n">
        <f aca="false">IFERROR('원자료(월별지수)'!AU44/'원자료(월별지수)'!AT44-1,"")</f>
        <v>0.0355229771638004</v>
      </c>
      <c r="AS44" s="12" t="n">
        <f aca="false">IFERROR('원자료(월별지수)'!AV44/'원자료(월별지수)'!AU44-1,"")</f>
        <v>-0.0154505853525727</v>
      </c>
      <c r="AT44" s="12" t="n">
        <f aca="false">IFERROR('원자료(월별지수)'!AW44/'원자료(월별지수)'!AV44-1,"")</f>
        <v>0.0526097476667817</v>
      </c>
      <c r="AU44" s="12" t="n">
        <f aca="false">IFERROR('원자료(월별지수)'!AX44/'원자료(월별지수)'!AW44-1,"")</f>
        <v>0.0721791672139762</v>
      </c>
      <c r="AV44" s="12" t="n">
        <f aca="false">IFERROR('원자료(월별지수)'!AY44/'원자료(월별지수)'!AX44-1,"")</f>
        <v>0.0333231240428791</v>
      </c>
      <c r="AW44" s="12" t="n">
        <f aca="false">IFERROR('원자료(월별지수)'!AZ44/'원자료(월별지수)'!AY44-1,"")</f>
        <v>-0.0392435829035509</v>
      </c>
      <c r="AX44" s="12" t="n">
        <f aca="false">IFERROR('원자료(월별지수)'!BA44/'원자료(월별지수)'!AZ44-1,"")</f>
        <v>-0.0478188437095083</v>
      </c>
      <c r="AY44" s="12" t="n">
        <f aca="false">IFERROR('원자료(월별지수)'!BB44/'원자료(월별지수)'!BA44-1,"")</f>
        <v>-0.058449974079834</v>
      </c>
      <c r="AZ44" s="12" t="n">
        <f aca="false">IFERROR('원자료(월별지수)'!BC44/'원자료(월별지수)'!BB44-1,"")</f>
        <v>-0.0775636613902272</v>
      </c>
      <c r="BA44" s="12" t="n">
        <f aca="false">IFERROR('원자료(월별지수)'!BD44/'원자료(월별지수)'!BC44-1,"")</f>
        <v>-0.0149966425427143</v>
      </c>
      <c r="BB44" s="12" t="n">
        <f aca="false">IFERROR('원자료(월별지수)'!BE44/'원자료(월별지수)'!BD44-1,"")</f>
        <v>-0.0049234964399334</v>
      </c>
      <c r="BC44" s="12" t="n">
        <f aca="false">IFERROR('원자료(월별지수)'!BF44/'원자료(월별지수)'!BE44-1,"")</f>
        <v>0.0782522645961787</v>
      </c>
      <c r="BD44" s="12" t="n">
        <f aca="false">IFERROR('원자료(월별지수)'!BG44/'원자료(월별지수)'!BF44-1,"")</f>
        <v>0.0925520649488174</v>
      </c>
      <c r="BE44" s="12" t="n">
        <f aca="false">IFERROR('원자료(월별지수)'!BH44/'원자료(월별지수)'!BG44-1,"")</f>
        <v>0.0536314293098992</v>
      </c>
      <c r="BF44" s="12" t="n">
        <f aca="false">IFERROR('원자료(월별지수)'!BI44/'원자료(월별지수)'!BH44-1,"")</f>
        <v>0.0562369679872439</v>
      </c>
      <c r="BG44" s="12" t="n">
        <f aca="false">IFERROR('원자료(월별지수)'!BJ44/'원자료(월별지수)'!BI44-1,"")</f>
        <v>-0.0175927538756314</v>
      </c>
      <c r="BH44" s="12" t="n">
        <f aca="false">IFERROR('원자료(월별지수)'!BK44/'원자료(월별지수)'!BJ44-1,"")</f>
        <v>-0.0779550827423168</v>
      </c>
      <c r="BI44" s="12" t="n">
        <f aca="false">IFERROR('원자료(월별지수)'!BL44/'원자료(월별지수)'!BK44-1,"")</f>
        <v>0.00448689186590623</v>
      </c>
      <c r="BJ44" s="12" t="n">
        <f aca="false">IFERROR('원자료(월별지수)'!BM44/'원자료(월별지수)'!BL44-1,"")</f>
        <v>-0.0134005487843788</v>
      </c>
      <c r="BK44" s="12" t="n">
        <f aca="false">IFERROR('원자료(월별지수)'!BN44/'원자료(월별지수)'!BM44-1,"")</f>
        <v>0.0141646724015263</v>
      </c>
      <c r="BL44" s="12" t="n">
        <f aca="false">IFERROR('원자료(월별지수)'!BO44/'원자료(월별지수)'!BN44-1,"")</f>
        <v>-0.0260841836734694</v>
      </c>
      <c r="BM44" s="12" t="n">
        <f aca="false">IFERROR('원자료(월별지수)'!BP44/'원자료(월별지수)'!BO44-1,"")</f>
        <v>-0.0137515552354135</v>
      </c>
      <c r="BN44" s="12" t="n">
        <f aca="false">IFERROR('원자료(월별지수)'!BQ44/'원자료(월별지수)'!BP44-1,"")</f>
        <v>0.00604209547838797</v>
      </c>
    </row>
    <row r="45" customFormat="false" ht="15" hidden="false" customHeight="false" outlineLevel="0" collapsed="false">
      <c r="A45" s="8" t="s">
        <v>135</v>
      </c>
      <c r="B45" s="9" t="s">
        <v>138</v>
      </c>
      <c r="C45" s="12" t="n">
        <f aca="false">IFERROR('원자료(월별지수)'!F45/'원자료(월별지수)'!E45-1,"")</f>
        <v>-0.400137007154818</v>
      </c>
      <c r="D45" s="12" t="n">
        <f aca="false">IFERROR('원자료(월별지수)'!G45/'원자료(월별지수)'!F45-1,"")</f>
        <v>0.284354777312524</v>
      </c>
      <c r="E45" s="12" t="n">
        <f aca="false">IFERROR('원자료(월별지수)'!H45/'원자료(월별지수)'!G45-1,"")</f>
        <v>0</v>
      </c>
      <c r="F45" s="12" t="n">
        <f aca="false">IFERROR('원자료(월별지수)'!I45/'원자료(월별지수)'!H45-1,"")</f>
        <v>0</v>
      </c>
      <c r="G45" s="12" t="n">
        <f aca="false">IFERROR('원자료(월별지수)'!J45/'원자료(월별지수)'!I45-1,"")</f>
        <v>0</v>
      </c>
      <c r="H45" s="12" t="n">
        <f aca="false">IFERROR('원자료(월별지수)'!K45/'원자료(월별지수)'!J45-1,"")</f>
        <v>0</v>
      </c>
      <c r="I45" s="12" t="n">
        <f aca="false">IFERROR('원자료(월별지수)'!L45/'원자료(월별지수)'!K45-1,"")</f>
        <v>-0.0772574590001975</v>
      </c>
      <c r="J45" s="12" t="n">
        <f aca="false">IFERROR('원자료(월별지수)'!M45/'원자료(월별지수)'!L45-1,"")</f>
        <v>-0.0190578158458244</v>
      </c>
      <c r="K45" s="12" t="n">
        <f aca="false">IFERROR('원자료(월별지수)'!N45/'원자료(월별지수)'!M45-1,"")</f>
        <v>-0.3762278978389</v>
      </c>
      <c r="L45" s="12" t="n">
        <f aca="false">IFERROR('원자료(월별지수)'!O45/'원자료(월별지수)'!N45-1,"")</f>
        <v>0.0328958880139982</v>
      </c>
      <c r="M45" s="12" t="n">
        <f aca="false">IFERROR('원자료(월별지수)'!P45/'원자료(월별지수)'!O45-1,"")</f>
        <v>0.114179230899543</v>
      </c>
      <c r="N45" s="12" t="n">
        <f aca="false">IFERROR('원자료(월별지수)'!Q45/'원자료(월별지수)'!P45-1,"")</f>
        <v>0.777558157214536</v>
      </c>
      <c r="O45" s="12" t="n">
        <f aca="false">IFERROR('원자료(월별지수)'!R45/'원자료(월별지수)'!Q45-1,"")</f>
        <v>0.0394320417415106</v>
      </c>
      <c r="P45" s="12" t="n">
        <f aca="false">IFERROR('원자료(월별지수)'!S45/'원자료(월별지수)'!R45-1,"")</f>
        <v>-0.49893021724819</v>
      </c>
      <c r="Q45" s="12" t="n">
        <f aca="false">IFERROR('원자료(월별지수)'!T45/'원자료(월별지수)'!S45-1,"")</f>
        <v>-0.206273608145837</v>
      </c>
      <c r="R45" s="12" t="n">
        <f aca="false">IFERROR('원자료(월별지수)'!U45/'원자료(월별지수)'!T45-1,"")</f>
        <v>-0.413200910407614</v>
      </c>
      <c r="S45" s="12" t="n">
        <f aca="false">IFERROR('원자료(월별지수)'!V45/'원자료(월별지수)'!U45-1,"")</f>
        <v>0</v>
      </c>
      <c r="T45" s="12" t="n">
        <f aca="false">IFERROR('원자료(월별지수)'!W45/'원자료(월별지수)'!V45-1,"")</f>
        <v>0</v>
      </c>
      <c r="U45" s="12" t="n">
        <f aca="false">IFERROR('원자료(월별지수)'!X45/'원자료(월별지수)'!W45-1,"")</f>
        <v>2.78349788434415</v>
      </c>
      <c r="V45" s="12" t="n">
        <f aca="false">IFERROR('원자료(월별지수)'!Y45/'원자료(월별지수)'!X45-1,"")</f>
        <v>0.149114631873253</v>
      </c>
      <c r="W45" s="12" t="n">
        <f aca="false">IFERROR('원자료(월별지수)'!Z45/'원자료(월별지수)'!Y45-1,"")</f>
        <v>-0.0506082725060827</v>
      </c>
      <c r="X45" s="12" t="n">
        <f aca="false">IFERROR('원자료(월별지수)'!AA45/'원자료(월별지수)'!Z45-1,"")</f>
        <v>-0.181701691440287</v>
      </c>
      <c r="Y45" s="12" t="n">
        <f aca="false">IFERROR('원자료(월별지수)'!AB45/'원자료(월별지수)'!AA45-1,"")</f>
        <v>-0.0531370706754358</v>
      </c>
      <c r="Z45" s="12" t="n">
        <f aca="false">IFERROR('원자료(월별지수)'!AC45/'원자료(월별지수)'!AB45-1,"")</f>
        <v>-0.173649393605292</v>
      </c>
      <c r="AA45" s="12" t="n">
        <f aca="false">IFERROR('원자료(월별지수)'!AD45/'원자료(월별지수)'!AC45-1,"")</f>
        <v>1.18278852568379</v>
      </c>
      <c r="AB45" s="12" t="n">
        <f aca="false">IFERROR('원자료(월별지수)'!AE45/'원자료(월별지수)'!AD45-1,"")</f>
        <v>0</v>
      </c>
      <c r="AC45" s="12" t="n">
        <f aca="false">IFERROR('원자료(월별지수)'!AF45/'원자료(월별지수)'!AE45-1,"")</f>
        <v>0</v>
      </c>
      <c r="AD45" s="12" t="n">
        <f aca="false">IFERROR('원자료(월별지수)'!AG45/'원자료(월별지수)'!AF45-1,"")</f>
        <v>0</v>
      </c>
      <c r="AE45" s="12" t="n">
        <f aca="false">IFERROR('원자료(월별지수)'!AH45/'원자료(월별지수)'!AG45-1,"")</f>
        <v>0</v>
      </c>
      <c r="AF45" s="12" t="n">
        <f aca="false">IFERROR('원자료(월별지수)'!AI45/'원자료(월별지수)'!AH45-1,"")</f>
        <v>0</v>
      </c>
      <c r="AG45" s="12" t="n">
        <f aca="false">IFERROR('원자료(월별지수)'!AJ45/'원자료(월별지수)'!AI45-1,"")</f>
        <v>0</v>
      </c>
      <c r="AH45" s="12" t="n">
        <f aca="false">IFERROR('원자료(월별지수)'!AK45/'원자료(월별지수)'!AJ45-1,"")</f>
        <v>0.155012224938875</v>
      </c>
      <c r="AI45" s="12" t="n">
        <f aca="false">IFERROR('원자료(월별지수)'!AL45/'원자료(월별지수)'!AK45-1,"")</f>
        <v>-0.0147121083827265</v>
      </c>
      <c r="AJ45" s="12" t="n">
        <f aca="false">IFERROR('원자료(월별지수)'!AM45/'원자료(월별지수)'!AL45-1,"")</f>
        <v>-0.273713610484477</v>
      </c>
      <c r="AK45" s="12" t="n">
        <f aca="false">IFERROR('원자료(월별지수)'!AN45/'원자료(월별지수)'!AM45-1,"")</f>
        <v>-0.320366809643544</v>
      </c>
      <c r="AL45" s="12" t="n">
        <f aca="false">IFERROR('원자료(월별지수)'!AO45/'원자료(월별지수)'!AN45-1,"")</f>
        <v>0.0711643090315559</v>
      </c>
      <c r="AM45" s="12" t="n">
        <f aca="false">IFERROR('원자료(월별지수)'!AP45/'원자료(월별지수)'!AO45-1,"")</f>
        <v>-0.519707436001625</v>
      </c>
      <c r="AN45" s="12" t="n">
        <f aca="false">IFERROR('원자료(월별지수)'!AQ45/'원자료(월별지수)'!AP45-1,"")</f>
        <v>0.733502538071066</v>
      </c>
      <c r="AO45" s="12" t="n">
        <f aca="false">IFERROR('원자료(월별지수)'!AR45/'원자료(월별지수)'!AQ45-1,"")</f>
        <v>-0.0788189360663738</v>
      </c>
      <c r="AP45" s="12" t="n">
        <f aca="false">IFERROR('원자료(월별지수)'!AS45/'원자료(월별지수)'!AR45-1,"")</f>
        <v>0.0365562913907285</v>
      </c>
      <c r="AQ45" s="12" t="n">
        <f aca="false">IFERROR('원자료(월별지수)'!AT45/'원자료(월별지수)'!AS45-1,"")</f>
        <v>-0.17147968310759</v>
      </c>
      <c r="AR45" s="12" t="n">
        <f aca="false">IFERROR('원자료(월별지수)'!AU45/'원자료(월별지수)'!AT45-1,"")</f>
        <v>0.0222085132634176</v>
      </c>
      <c r="AS45" s="12" t="n">
        <f aca="false">IFERROR('원자료(월별지수)'!AV45/'원자료(월별지수)'!AU45-1,"")</f>
        <v>-0.573627036813518</v>
      </c>
      <c r="AT45" s="12" t="n">
        <f aca="false">IFERROR('원자료(월별지수)'!AW45/'원자료(월별지수)'!AV45-1,"")</f>
        <v>1.02476999292286</v>
      </c>
      <c r="AU45" s="12" t="n">
        <f aca="false">IFERROR('원자료(월별지수)'!AX45/'원자료(월별지수)'!AW45-1,"")</f>
        <v>0.0373995106606082</v>
      </c>
      <c r="AV45" s="12" t="n">
        <f aca="false">IFERROR('원자료(월별지수)'!AY45/'원자료(월별지수)'!AX45-1,"")</f>
        <v>-0.0085916442048517</v>
      </c>
      <c r="AW45" s="12" t="n">
        <f aca="false">IFERROR('원자료(월별지수)'!AZ45/'원자료(월별지수)'!AY45-1,"")</f>
        <v>0.237553101104503</v>
      </c>
      <c r="AX45" s="12" t="n">
        <f aca="false">IFERROR('원자료(월별지수)'!BA45/'원자료(월별지수)'!AZ45-1,"")</f>
        <v>0.233694905945352</v>
      </c>
      <c r="AY45" s="12" t="n">
        <f aca="false">IFERROR('원자료(월별지수)'!BB45/'원자료(월별지수)'!BA45-1,"")</f>
        <v>-0.0887033945464664</v>
      </c>
      <c r="AZ45" s="12" t="n">
        <f aca="false">IFERROR('원자료(월별지수)'!BC45/'원자료(월별지수)'!BB45-1,"")</f>
        <v>0.196995603321935</v>
      </c>
      <c r="BA45" s="12" t="n">
        <f aca="false">IFERROR('원자료(월별지수)'!BD45/'원자료(월별지수)'!BC45-1,"")</f>
        <v>-0.0314253647586981</v>
      </c>
      <c r="BB45" s="12" t="n">
        <f aca="false">IFERROR('원자료(월별지수)'!BE45/'원자료(월별지수)'!BD45-1,"")</f>
        <v>0.0511956178236594</v>
      </c>
      <c r="BC45" s="12" t="n">
        <f aca="false">IFERROR('원자료(월별지수)'!BF45/'원자료(월별지수)'!BE45-1,"")</f>
        <v>-0.383805992584427</v>
      </c>
      <c r="BD45" s="12" t="n">
        <f aca="false">IFERROR('원자료(월별지수)'!BG45/'원자료(월별지수)'!BF45-1,"")</f>
        <v>-0.00065051227841928</v>
      </c>
      <c r="BE45" s="12" t="n">
        <f aca="false">IFERROR('원자료(월별지수)'!BH45/'원자료(월별지수)'!BG45-1,"")</f>
        <v>0.452237591537835</v>
      </c>
      <c r="BF45" s="12" t="n">
        <f aca="false">IFERROR('원자료(월별지수)'!BI45/'원자료(월별지수)'!BH45-1,"")</f>
        <v>-0.160914388166741</v>
      </c>
      <c r="BG45" s="12" t="n">
        <f aca="false">IFERROR('원자료(월별지수)'!BJ45/'원자료(월별지수)'!BI45-1,"")</f>
        <v>-0.196981837606838</v>
      </c>
      <c r="BH45" s="12" t="n">
        <f aca="false">IFERROR('원자료(월별지수)'!BK45/'원자료(월별지수)'!BJ45-1,"")</f>
        <v>-0.00249459504407124</v>
      </c>
      <c r="BI45" s="12" t="n">
        <f aca="false">IFERROR('원자료(월별지수)'!BL45/'원자료(월별지수)'!BK45-1,"")</f>
        <v>0.17405801933978</v>
      </c>
      <c r="BJ45" s="12" t="n">
        <f aca="false">IFERROR('원자료(월별지수)'!BM45/'원자료(월별지수)'!BL45-1,"")</f>
        <v>0.269667708037489</v>
      </c>
      <c r="BK45" s="12" t="n">
        <f aca="false">IFERROR('원자료(월별지수)'!BN45/'원자료(월별지수)'!BM45-1,"")</f>
        <v>0.33094732132871</v>
      </c>
      <c r="BL45" s="12" t="n">
        <f aca="false">IFERROR('원자료(월별지수)'!BO45/'원자료(월별지수)'!BN45-1,"")</f>
        <v>-0.232521008403361</v>
      </c>
      <c r="BM45" s="12" t="n">
        <f aca="false">IFERROR('원자료(월별지수)'!BP45/'원자료(월별지수)'!BO45-1,"")</f>
        <v>-0.162706668126574</v>
      </c>
      <c r="BN45" s="12" t="n">
        <f aca="false">IFERROR('원자료(월별지수)'!BQ45/'원자료(월별지수)'!BP45-1,"")</f>
        <v>0.0983392179939846</v>
      </c>
    </row>
    <row r="46" customFormat="false" ht="15" hidden="false" customHeight="false" outlineLevel="0" collapsed="false">
      <c r="A46" s="8" t="s">
        <v>135</v>
      </c>
      <c r="B46" s="9" t="s">
        <v>139</v>
      </c>
      <c r="C46" s="12" t="n">
        <f aca="false">IFERROR('원자료(월별지수)'!F46/'원자료(월별지수)'!E46-1,"")</f>
        <v>0.00401881983924723</v>
      </c>
      <c r="D46" s="12" t="n">
        <f aca="false">IFERROR('원자료(월별지수)'!G46/'원자료(월별지수)'!F46-1,"")</f>
        <v>0.0107390412964952</v>
      </c>
      <c r="E46" s="12" t="n">
        <f aca="false">IFERROR('원자료(월별지수)'!H46/'원자료(월별지수)'!G46-1,"")</f>
        <v>-0.0201873852989471</v>
      </c>
      <c r="F46" s="12" t="n">
        <f aca="false">IFERROR('원자료(월별지수)'!I46/'원자료(월별지수)'!H46-1,"")</f>
        <v>0.000295741324921162</v>
      </c>
      <c r="G46" s="12" t="n">
        <f aca="false">IFERROR('원자료(월별지수)'!J46/'원자료(월별지수)'!I46-1,"")</f>
        <v>-0.0102493347787522</v>
      </c>
      <c r="H46" s="12" t="n">
        <f aca="false">IFERROR('원자료(월별지수)'!K46/'원자료(월별지수)'!J46-1,"")</f>
        <v>-0.0942945335059247</v>
      </c>
      <c r="I46" s="12" t="n">
        <f aca="false">IFERROR('원자료(월별지수)'!L46/'원자료(월별지수)'!K46-1,"")</f>
        <v>-0.0147317502198767</v>
      </c>
      <c r="J46" s="12" t="n">
        <f aca="false">IFERROR('원자료(월별지수)'!M46/'원자료(월별지수)'!L46-1,"")</f>
        <v>0.0232091051104664</v>
      </c>
      <c r="K46" s="12" t="n">
        <f aca="false">IFERROR('원자료(월별지수)'!N46/'원자료(월별지수)'!M46-1,"")</f>
        <v>-0.0282442748091604</v>
      </c>
      <c r="L46" s="12" t="n">
        <f aca="false">IFERROR('원자료(월별지수)'!O46/'원자료(월별지수)'!N46-1,"")</f>
        <v>-0.091684434968017</v>
      </c>
      <c r="M46" s="12" t="n">
        <f aca="false">IFERROR('원자료(월별지수)'!P46/'원자료(월별지수)'!O46-1,"")</f>
        <v>-0.00963676797627877</v>
      </c>
      <c r="N46" s="12" t="n">
        <f aca="false">IFERROR('원자료(월별지수)'!Q46/'원자료(월별지수)'!P46-1,"")</f>
        <v>-0.0441616766467065</v>
      </c>
      <c r="O46" s="12" t="n">
        <f aca="false">IFERROR('원자료(월별지수)'!R46/'원자료(월별지수)'!Q46-1,"")</f>
        <v>0.0506395197076481</v>
      </c>
      <c r="P46" s="12" t="n">
        <f aca="false">IFERROR('원자료(월별지수)'!S46/'원자료(월별지수)'!R46-1,"")</f>
        <v>-0.0154037267080744</v>
      </c>
      <c r="Q46" s="12" t="n">
        <f aca="false">IFERROR('원자료(월별지수)'!T46/'원자료(월별지수)'!S46-1,"")</f>
        <v>0.107872823618471</v>
      </c>
      <c r="R46" s="12" t="n">
        <f aca="false">IFERROR('원자료(월별지수)'!U46/'원자료(월별지수)'!T46-1,"")</f>
        <v>-0.0107049311012413</v>
      </c>
      <c r="S46" s="12" t="n">
        <f aca="false">IFERROR('원자료(월별지수)'!V46/'원자료(월별지수)'!U46-1,"")</f>
        <v>0.118222631518361</v>
      </c>
      <c r="T46" s="12" t="n">
        <f aca="false">IFERROR('원자료(월별지수)'!W46/'원자료(월별지수)'!V46-1,"")</f>
        <v>0.00432365657813461</v>
      </c>
      <c r="U46" s="12" t="n">
        <f aca="false">IFERROR('원자료(월별지수)'!X46/'원자료(월별지수)'!W46-1,"")</f>
        <v>-0.312013120131201</v>
      </c>
      <c r="V46" s="12" t="n">
        <f aca="false">IFERROR('원자료(월별지수)'!Y46/'원자료(월별지수)'!X46-1,"")</f>
        <v>0.0341179976162096</v>
      </c>
      <c r="W46" s="12" t="n">
        <f aca="false">IFERROR('원자료(월별지수)'!Z46/'원자료(월별지수)'!Y46-1,"")</f>
        <v>-0.13240167122893</v>
      </c>
      <c r="X46" s="12" t="n">
        <f aca="false">IFERROR('원자료(월별지수)'!AA46/'원자료(월별지수)'!Z46-1,"")</f>
        <v>-0.0385254068415809</v>
      </c>
      <c r="Y46" s="12" t="n">
        <f aca="false">IFERROR('원자료(월별지수)'!AB46/'원자료(월별지수)'!AA46-1,"")</f>
        <v>0.0777202072538861</v>
      </c>
      <c r="Z46" s="12" t="n">
        <f aca="false">IFERROR('원자료(월별지수)'!AC46/'원자료(월별지수)'!AB46-1,"")</f>
        <v>0.22051282051282</v>
      </c>
      <c r="AA46" s="12" t="n">
        <f aca="false">IFERROR('원자료(월별지수)'!AD46/'원자료(월별지수)'!AC46-1,"")</f>
        <v>0.0144432773109244</v>
      </c>
      <c r="AB46" s="12" t="n">
        <f aca="false">IFERROR('원자료(월별지수)'!AE46/'원자료(월별지수)'!AD46-1,"")</f>
        <v>-0.0748123220295107</v>
      </c>
      <c r="AC46" s="12" t="n">
        <f aca="false">IFERROR('원자료(월별지수)'!AF46/'원자료(월별지수)'!AE46-1,"")</f>
        <v>-0.0815612758813654</v>
      </c>
      <c r="AD46" s="12" t="n">
        <f aca="false">IFERROR('원자료(월별지수)'!AG46/'원자료(월별지수)'!AF46-1,"")</f>
        <v>0.0761614623000761</v>
      </c>
      <c r="AE46" s="12" t="n">
        <f aca="false">IFERROR('원자료(월별지수)'!AH46/'원자료(월별지수)'!AG46-1,"")</f>
        <v>0.0440198159943384</v>
      </c>
      <c r="AF46" s="12" t="n">
        <f aca="false">IFERROR('원자료(월별지수)'!AI46/'원자료(월별지수)'!AH46-1,"")</f>
        <v>0</v>
      </c>
      <c r="AG46" s="12" t="n">
        <f aca="false">IFERROR('원자료(월별지수)'!AJ46/'원자료(월별지수)'!AI46-1,"")</f>
        <v>0.0272505422993492</v>
      </c>
      <c r="AH46" s="12" t="n">
        <f aca="false">IFERROR('원자료(월별지수)'!AK46/'원자료(월별지수)'!AJ46-1,"")</f>
        <v>-0.0673089613303417</v>
      </c>
      <c r="AI46" s="12" t="n">
        <f aca="false">IFERROR('원자료(월별지수)'!AL46/'원자료(월별지수)'!AK46-1,"")</f>
        <v>-0.0133012593745577</v>
      </c>
      <c r="AJ46" s="12" t="n">
        <f aca="false">IFERROR('원자료(월별지수)'!AM46/'원자료(월별지수)'!AL46-1,"")</f>
        <v>-0.0358525742148286</v>
      </c>
      <c r="AK46" s="12" t="n">
        <f aca="false">IFERROR('원자료(월별지수)'!AN46/'원자료(월별지수)'!AM46-1,"")</f>
        <v>0.0157667707868512</v>
      </c>
      <c r="AL46" s="12" t="n">
        <f aca="false">IFERROR('원자료(월별지수)'!AO46/'원자료(월별지수)'!AN46-1,"")</f>
        <v>-0.023136623224484</v>
      </c>
      <c r="AM46" s="12" t="n">
        <f aca="false">IFERROR('원자료(월별지수)'!AP46/'원자료(월별지수)'!AO46-1,"")</f>
        <v>0.0109428871233699</v>
      </c>
      <c r="AN46" s="12" t="n">
        <f aca="false">IFERROR('원자료(월별지수)'!AQ46/'원자료(월별지수)'!AP46-1,"")</f>
        <v>0.0545670225385528</v>
      </c>
      <c r="AO46" s="12" t="n">
        <f aca="false">IFERROR('원자료(월별지수)'!AR46/'원자료(월별지수)'!AQ46-1,"")</f>
        <v>0.115016872890888</v>
      </c>
      <c r="AP46" s="12" t="n">
        <f aca="false">IFERROR('원자료(월별지수)'!AS46/'원자료(월별지수)'!AR46-1,"")</f>
        <v>0.11500630517024</v>
      </c>
      <c r="AQ46" s="12" t="n">
        <f aca="false">IFERROR('원자료(월별지수)'!AT46/'원자료(월별지수)'!AS46-1,"")</f>
        <v>-0.00441076679484276</v>
      </c>
      <c r="AR46" s="12" t="n">
        <f aca="false">IFERROR('원자료(월별지수)'!AU46/'원자료(월별지수)'!AT46-1,"")</f>
        <v>-0.0153356810178348</v>
      </c>
      <c r="AS46" s="12" t="n">
        <f aca="false">IFERROR('원자료(월별지수)'!AV46/'원자료(월별지수)'!AU46-1,"")</f>
        <v>0</v>
      </c>
      <c r="AT46" s="12" t="n">
        <f aca="false">IFERROR('원자료(월별지수)'!AW46/'원자료(월별지수)'!AV46-1,"")</f>
        <v>0.153322565759114</v>
      </c>
      <c r="AU46" s="12" t="n">
        <f aca="false">IFERROR('원자료(월별지수)'!AX46/'원자료(월별지수)'!AW46-1,"")</f>
        <v>-0.0764229268780634</v>
      </c>
      <c r="AV46" s="12" t="n">
        <f aca="false">IFERROR('원자료(월별지수)'!AY46/'원자료(월별지수)'!AX46-1,"")</f>
        <v>0.00108307159103216</v>
      </c>
      <c r="AW46" s="12" t="n">
        <f aca="false">IFERROR('원자료(월별지수)'!AZ46/'원자료(월별지수)'!AY46-1,"")</f>
        <v>0.0575570702152979</v>
      </c>
      <c r="AX46" s="12" t="n">
        <f aca="false">IFERROR('원자료(월별지수)'!BA46/'원자료(월별지수)'!AZ46-1,"")</f>
        <v>0.104654731457801</v>
      </c>
      <c r="AY46" s="12" t="n">
        <f aca="false">IFERROR('원자료(월별지수)'!BB46/'원자료(월별지수)'!BA46-1,"")</f>
        <v>-0.00981663270976108</v>
      </c>
      <c r="AZ46" s="12" t="n">
        <f aca="false">IFERROR('원자료(월별지수)'!BC46/'원자료(월별지수)'!BB46-1,"")</f>
        <v>0.0532173587729143</v>
      </c>
      <c r="BA46" s="12" t="n">
        <f aca="false">IFERROR('원자료(월별지수)'!BD46/'원자료(월별지수)'!BC46-1,"")</f>
        <v>0.0262854098215077</v>
      </c>
      <c r="BB46" s="12" t="n">
        <f aca="false">IFERROR('원자료(월별지수)'!BE46/'원자료(월별지수)'!BD46-1,"")</f>
        <v>0</v>
      </c>
      <c r="BC46" s="12" t="n">
        <f aca="false">IFERROR('원자료(월별지수)'!BF46/'원자료(월별지수)'!BE46-1,"")</f>
        <v>0</v>
      </c>
      <c r="BD46" s="12" t="n">
        <f aca="false">IFERROR('원자료(월별지수)'!BG46/'원자료(월별지수)'!BF46-1,"")</f>
        <v>0</v>
      </c>
      <c r="BE46" s="12" t="n">
        <f aca="false">IFERROR('원자료(월별지수)'!BH46/'원자료(월별지수)'!BG46-1,"")</f>
        <v>0.223673963831444</v>
      </c>
      <c r="BF46" s="12" t="n">
        <f aca="false">IFERROR('원자료(월별지수)'!BI46/'원자료(월별지수)'!BH46-1,"")</f>
        <v>-0.0317493989534718</v>
      </c>
      <c r="BG46" s="12" t="n">
        <f aca="false">IFERROR('원자료(월별지수)'!BJ46/'원자료(월별지수)'!BI46-1,"")</f>
        <v>0.0637552033885926</v>
      </c>
      <c r="BH46" s="12" t="n">
        <f aca="false">IFERROR('원자료(월별지수)'!BK46/'원자료(월별지수)'!BJ46-1,"")</f>
        <v>-0.0612385006178772</v>
      </c>
      <c r="BI46" s="12" t="n">
        <f aca="false">IFERROR('원자료(월별지수)'!BL46/'원자료(월별지수)'!BK46-1,"")</f>
        <v>-0.0198917653941787</v>
      </c>
      <c r="BJ46" s="12" t="n">
        <f aca="false">IFERROR('원자료(월별지수)'!BM46/'원자료(월별지수)'!BL46-1,"")</f>
        <v>0.00283539770183561</v>
      </c>
      <c r="BK46" s="12" t="n">
        <f aca="false">IFERROR('원자료(월별지수)'!BN46/'원자료(월별지수)'!BM46-1,"")</f>
        <v>0.0608630952380953</v>
      </c>
      <c r="BL46" s="12" t="n">
        <f aca="false">IFERROR('원자료(월별지수)'!BO46/'원자료(월별지수)'!BN46-1,"")</f>
        <v>0.0128348997054284</v>
      </c>
      <c r="BM46" s="12" t="n">
        <f aca="false">IFERROR('원자료(월별지수)'!BP46/'원자료(월별지수)'!BO46-1,"")</f>
        <v>0.0287376220483346</v>
      </c>
      <c r="BN46" s="12" t="n">
        <f aca="false">IFERROR('원자료(월별지수)'!BQ46/'원자료(월별지수)'!BP46-1,"")</f>
        <v>-0.047253634894992</v>
      </c>
    </row>
    <row r="47" customFormat="false" ht="15" hidden="false" customHeight="false" outlineLevel="0" collapsed="false">
      <c r="A47" s="8" t="s">
        <v>135</v>
      </c>
      <c r="B47" s="9" t="s">
        <v>140</v>
      </c>
      <c r="C47" s="12" t="n">
        <f aca="false">IFERROR('원자료(월별지수)'!F47/'원자료(월별지수)'!E47-1,"")</f>
        <v>0.086331629208064</v>
      </c>
      <c r="D47" s="12" t="n">
        <f aca="false">IFERROR('원자료(월별지수)'!G47/'원자료(월별지수)'!F47-1,"")</f>
        <v>0.0142958621914402</v>
      </c>
      <c r="E47" s="12" t="n">
        <f aca="false">IFERROR('원자료(월별지수)'!H47/'원자료(월별지수)'!G47-1,"")</f>
        <v>-0.0347544427908605</v>
      </c>
      <c r="F47" s="12" t="n">
        <f aca="false">IFERROR('원자료(월별지수)'!I47/'원자료(월별지수)'!H47-1,"")</f>
        <v>-0.0453473607836024</v>
      </c>
      <c r="G47" s="12" t="n">
        <f aca="false">IFERROR('원자료(월별지수)'!J47/'원자료(월별지수)'!I47-1,"")</f>
        <v>0.00418012540376211</v>
      </c>
      <c r="H47" s="12" t="n">
        <f aca="false">IFERROR('원자료(월별지수)'!K47/'원자료(월별지수)'!J47-1,"")</f>
        <v>-0.0545884578997161</v>
      </c>
      <c r="I47" s="12" t="n">
        <f aca="false">IFERROR('원자료(월별지수)'!L47/'원자료(월별지수)'!K47-1,"")</f>
        <v>0.0341238867207045</v>
      </c>
      <c r="J47" s="12" t="n">
        <f aca="false">IFERROR('원자료(월별지수)'!M47/'원자료(월별지수)'!L47-1,"")</f>
        <v>0.0610605767369847</v>
      </c>
      <c r="K47" s="12" t="n">
        <f aca="false">IFERROR('원자료(월별지수)'!N47/'원자료(월별지수)'!M47-1,"")</f>
        <v>-0.121477428180575</v>
      </c>
      <c r="L47" s="12" t="n">
        <f aca="false">IFERROR('원자료(월별지수)'!O47/'원자료(월별지수)'!N47-1,"")</f>
        <v>0.0556420637392296</v>
      </c>
      <c r="M47" s="12" t="n">
        <f aca="false">IFERROR('원자료(월별지수)'!P47/'원자료(월별지수)'!O47-1,"")</f>
        <v>0.0707050840790637</v>
      </c>
      <c r="N47" s="12" t="n">
        <f aca="false">IFERROR('원자료(월별지수)'!Q47/'원자료(월별지수)'!P47-1,"")</f>
        <v>-0.0201138868479059</v>
      </c>
      <c r="O47" s="12" t="n">
        <f aca="false">IFERROR('원자료(월별지수)'!R47/'원자료(월별지수)'!Q47-1,"")</f>
        <v>-0.0027181554035054</v>
      </c>
      <c r="P47" s="12" t="n">
        <f aca="false">IFERROR('원자료(월별지수)'!S47/'원자료(월별지수)'!R47-1,"")</f>
        <v>0.0326127819548872</v>
      </c>
      <c r="Q47" s="12" t="n">
        <f aca="false">IFERROR('원자료(월별지수)'!T47/'원자료(월별지수)'!S47-1,"")</f>
        <v>0.0256666970055519</v>
      </c>
      <c r="R47" s="12" t="n">
        <f aca="false">IFERROR('원자료(월별지수)'!U47/'원자료(월별지수)'!T47-1,"")</f>
        <v>-0.0065666873724376</v>
      </c>
      <c r="S47" s="12" t="n">
        <f aca="false">IFERROR('원자료(월별지수)'!V47/'원자료(월별지수)'!U47-1,"")</f>
        <v>-0.0543099598034836</v>
      </c>
      <c r="T47" s="12" t="n">
        <f aca="false">IFERROR('원자료(월별지수)'!W47/'원자료(월별지수)'!V47-1,"")</f>
        <v>-0.0196467365637102</v>
      </c>
      <c r="U47" s="12" t="n">
        <f aca="false">IFERROR('원자료(월별지수)'!X47/'원자료(월별지수)'!W47-1,"")</f>
        <v>-0.0239907505540034</v>
      </c>
      <c r="V47" s="12" t="n">
        <f aca="false">IFERROR('원자료(월별지수)'!Y47/'원자료(월별지수)'!X47-1,"")</f>
        <v>0.0914116485686081</v>
      </c>
      <c r="W47" s="12" t="n">
        <f aca="false">IFERROR('원자료(월별지수)'!Z47/'원자료(월별지수)'!Y47-1,"")</f>
        <v>0.00967800289435594</v>
      </c>
      <c r="X47" s="12" t="n">
        <f aca="false">IFERROR('원자료(월별지수)'!AA47/'원자료(월별지수)'!Z47-1,"")</f>
        <v>0.138941144853534</v>
      </c>
      <c r="Y47" s="12" t="n">
        <f aca="false">IFERROR('원자료(월별지수)'!AB47/'원자료(월별지수)'!AA47-1,"")</f>
        <v>-0.0615856536101935</v>
      </c>
      <c r="Z47" s="12" t="n">
        <f aca="false">IFERROR('원자료(월별지수)'!AC47/'원자료(월별지수)'!AB47-1,"")</f>
        <v>0.0963037465426202</v>
      </c>
      <c r="AA47" s="12" t="n">
        <f aca="false">IFERROR('원자료(월별지수)'!AD47/'원자료(월별지수)'!AC47-1,"")</f>
        <v>0.0295871559633025</v>
      </c>
      <c r="AB47" s="12" t="n">
        <f aca="false">IFERROR('원자료(월별지수)'!AE47/'원자료(월별지수)'!AD47-1,"")</f>
        <v>-0.0588104254845177</v>
      </c>
      <c r="AC47" s="12" t="n">
        <f aca="false">IFERROR('원자료(월별지수)'!AF47/'원자료(월별지수)'!AE47-1,"")</f>
        <v>0.0723471400394475</v>
      </c>
      <c r="AD47" s="12" t="n">
        <f aca="false">IFERROR('원자료(월별지수)'!AG47/'원자료(월별지수)'!AF47-1,"")</f>
        <v>-0.0548116539140671</v>
      </c>
      <c r="AE47" s="12" t="n">
        <f aca="false">IFERROR('원자료(월별지수)'!AH47/'원자료(월별지수)'!AG47-1,"")</f>
        <v>-0.0901377753561142</v>
      </c>
      <c r="AF47" s="12" t="n">
        <f aca="false">IFERROR('원자료(월별지수)'!AI47/'원자료(월별지수)'!AH47-1,"")</f>
        <v>0.0406364958507999</v>
      </c>
      <c r="AG47" s="12" t="n">
        <f aca="false">IFERROR('원자료(월별지수)'!AJ47/'원자료(월별지수)'!AI47-1,"")</f>
        <v>-0.0258960868135483</v>
      </c>
      <c r="AH47" s="12" t="n">
        <f aca="false">IFERROR('원자료(월별지수)'!AK47/'원자료(월별지수)'!AJ47-1,"")</f>
        <v>-0.00346020761245669</v>
      </c>
      <c r="AI47" s="12" t="n">
        <f aca="false">IFERROR('원자료(월별지수)'!AL47/'원자료(월별지수)'!AK47-1,"")</f>
        <v>-0.0340447154471545</v>
      </c>
      <c r="AJ47" s="12" t="n">
        <f aca="false">IFERROR('원자료(월별지수)'!AM47/'원자료(월별지수)'!AL47-1,"")</f>
        <v>0.0731194108364019</v>
      </c>
      <c r="AK47" s="12" t="n">
        <f aca="false">IFERROR('원자료(월별지수)'!AN47/'원자료(월별지수)'!AM47-1,"")</f>
        <v>0.15343137254902</v>
      </c>
      <c r="AL47" s="12" t="n">
        <f aca="false">IFERROR('원자료(월별지수)'!AO47/'원자료(월별지수)'!AN47-1,"")</f>
        <v>0.00602068281626278</v>
      </c>
      <c r="AM47" s="12" t="n">
        <f aca="false">IFERROR('원자료(월별지수)'!AP47/'원자료(월별지수)'!AO47-1,"")</f>
        <v>-0.0182355840315427</v>
      </c>
      <c r="AN47" s="12" t="n">
        <f aca="false">IFERROR('원자료(월별지수)'!AQ47/'원자료(월별지수)'!AP47-1,"")</f>
        <v>-0.0817555938037866</v>
      </c>
      <c r="AO47" s="12" t="n">
        <f aca="false">IFERROR('원자료(월별지수)'!AR47/'원자료(월별지수)'!AQ47-1,"")</f>
        <v>-0.415417057169635</v>
      </c>
      <c r="AP47" s="12" t="n">
        <f aca="false">IFERROR('원자료(월별지수)'!AS47/'원자료(월별지수)'!AR47-1,"")</f>
        <v>0.666800267201069</v>
      </c>
      <c r="AQ47" s="12" t="n">
        <f aca="false">IFERROR('원자료(월별지수)'!AT47/'원자료(월별지수)'!AS47-1,"")</f>
        <v>-0.396601474831677</v>
      </c>
      <c r="AR47" s="12" t="n">
        <f aca="false">IFERROR('원자료(월별지수)'!AU47/'원자료(월별지수)'!AT47-1,"")</f>
        <v>-0.0162061636556854</v>
      </c>
      <c r="AS47" s="12" t="n">
        <f aca="false">IFERROR('원자료(월별지수)'!AV47/'원자료(월별지수)'!AU47-1,"")</f>
        <v>0.0988387793680798</v>
      </c>
      <c r="AT47" s="12" t="n">
        <f aca="false">IFERROR('원자료(월별지수)'!AW47/'원자료(월별지수)'!AV47-1,"")</f>
        <v>0.0360039321700665</v>
      </c>
      <c r="AU47" s="12" t="n">
        <f aca="false">IFERROR('원자료(월별지수)'!AX47/'원자료(월별지수)'!AW47-1,"")</f>
        <v>0.155378958605148</v>
      </c>
      <c r="AV47" s="12" t="n">
        <f aca="false">IFERROR('원자료(월별지수)'!AY47/'원자료(월별지수)'!AX47-1,"")</f>
        <v>0.183143414433836</v>
      </c>
      <c r="AW47" s="12" t="n">
        <f aca="false">IFERROR('원자료(월별지수)'!AZ47/'원자료(월별지수)'!AY47-1,"")</f>
        <v>0.0151843817787418</v>
      </c>
      <c r="AX47" s="12" t="n">
        <f aca="false">IFERROR('원자료(월별지수)'!BA47/'원자료(월별지수)'!AZ47-1,"")</f>
        <v>0.00709401709401702</v>
      </c>
      <c r="AY47" s="12" t="n">
        <f aca="false">IFERROR('원자료(월별지수)'!BB47/'원자료(월별지수)'!BA47-1,"")</f>
        <v>0.0891114317236699</v>
      </c>
      <c r="AZ47" s="12" t="n">
        <f aca="false">IFERROR('원자료(월별지수)'!BC47/'원자료(월별지수)'!BB47-1,"")</f>
        <v>-0.0967038104885842</v>
      </c>
      <c r="BA47" s="12" t="n">
        <f aca="false">IFERROR('원자료(월별지수)'!BD47/'원자료(월별지수)'!BC47-1,"")</f>
        <v>-0.0766045548654244</v>
      </c>
      <c r="BB47" s="12" t="n">
        <f aca="false">IFERROR('원자료(월별지수)'!BE47/'원자료(월별지수)'!BD47-1,"")</f>
        <v>0.0362481315396113</v>
      </c>
      <c r="BC47" s="12" t="n">
        <f aca="false">IFERROR('원자료(월별지수)'!BF47/'원자료(월별지수)'!BE47-1,"")</f>
        <v>-0.276415434547422</v>
      </c>
      <c r="BD47" s="12" t="n">
        <f aca="false">IFERROR('원자료(월별지수)'!BG47/'원자료(월별지수)'!BF47-1,"")</f>
        <v>0.248567156740593</v>
      </c>
      <c r="BE47" s="12" t="n">
        <f aca="false">IFERROR('원자료(월별지수)'!BH47/'원자료(월별지수)'!BG47-1,"")</f>
        <v>0.0567807604031536</v>
      </c>
      <c r="BF47" s="12" t="n">
        <f aca="false">IFERROR('원자료(월별지수)'!BI47/'원자료(월별지수)'!BH47-1,"")</f>
        <v>-0.0101038715769595</v>
      </c>
      <c r="BG47" s="12" t="n">
        <f aca="false">IFERROR('원자료(월별지수)'!BJ47/'원자료(월별지수)'!BI47-1,"")</f>
        <v>0.0830869026042165</v>
      </c>
      <c r="BH47" s="12" t="n">
        <f aca="false">IFERROR('원자료(월별지수)'!BK47/'원자료(월별지수)'!BJ47-1,"")</f>
        <v>0.115553989783336</v>
      </c>
      <c r="BI47" s="12" t="n">
        <f aca="false">IFERROR('원자료(월별지수)'!BL47/'원자료(월별지수)'!BK47-1,"")</f>
        <v>-0.0397915679772619</v>
      </c>
      <c r="BJ47" s="12" t="n">
        <f aca="false">IFERROR('원자료(월별지수)'!BM47/'원자료(월별지수)'!BL47-1,"")</f>
        <v>0.0470317382009537</v>
      </c>
      <c r="BK47" s="12" t="n">
        <f aca="false">IFERROR('원자료(월별지수)'!BN47/'원자료(월별지수)'!BM47-1,"")</f>
        <v>0.0373017119522538</v>
      </c>
      <c r="BL47" s="12" t="n">
        <f aca="false">IFERROR('원자료(월별지수)'!BO47/'원자료(월별지수)'!BN47-1,"")</f>
        <v>-0.0875160875160875</v>
      </c>
      <c r="BM47" s="12" t="n">
        <f aca="false">IFERROR('원자료(월별지수)'!BP47/'원자료(월별지수)'!BO47-1,"")</f>
        <v>-0.0195801875051854</v>
      </c>
      <c r="BN47" s="12" t="n">
        <f aca="false">IFERROR('원자료(월별지수)'!BQ47/'원자료(월별지수)'!BP47-1,"")</f>
        <v>-0.0245409156300246</v>
      </c>
    </row>
    <row r="48" customFormat="false" ht="15" hidden="false" customHeight="false" outlineLevel="0" collapsed="false">
      <c r="A48" s="8" t="s">
        <v>135</v>
      </c>
      <c r="B48" s="9" t="s">
        <v>141</v>
      </c>
      <c r="C48" s="12" t="n">
        <f aca="false">IFERROR('원자료(월별지수)'!F48/'원자료(월별지수)'!E48-1,"")</f>
        <v>0.194801269457458</v>
      </c>
      <c r="D48" s="12" t="n">
        <f aca="false">IFERROR('원자료(월별지수)'!G48/'원자료(월별지수)'!F48-1,"")</f>
        <v>-0.176321780925879</v>
      </c>
      <c r="E48" s="12" t="n">
        <f aca="false">IFERROR('원자료(월별지수)'!H48/'원자료(월별지수)'!G48-1,"")</f>
        <v>0</v>
      </c>
      <c r="F48" s="12" t="n">
        <f aca="false">IFERROR('원자료(월별지수)'!I48/'원자료(월별지수)'!H48-1,"")</f>
        <v>0.00859950859950853</v>
      </c>
      <c r="G48" s="12" t="n">
        <f aca="false">IFERROR('원자료(월별지수)'!J48/'원자료(월별지수)'!I48-1,"")</f>
        <v>0.297503045066991</v>
      </c>
      <c r="H48" s="12" t="n">
        <f aca="false">IFERROR('원자료(월별지수)'!K48/'원자료(월별지수)'!J48-1,"")</f>
        <v>-0.141750762731753</v>
      </c>
      <c r="I48" s="12" t="n">
        <f aca="false">IFERROR('원자료(월별지수)'!L48/'원자료(월별지수)'!K48-1,"")</f>
        <v>-0.228602679792179</v>
      </c>
      <c r="J48" s="12" t="n">
        <f aca="false">IFERROR('원자료(월별지수)'!M48/'원자료(월별지수)'!L48-1,"")</f>
        <v>0.190358029067707</v>
      </c>
      <c r="K48" s="12" t="n">
        <f aca="false">IFERROR('원자료(월별지수)'!N48/'원자료(월별지수)'!M48-1,"")</f>
        <v>0.229303156640858</v>
      </c>
      <c r="L48" s="12" t="n">
        <f aca="false">IFERROR('원자료(월별지수)'!O48/'원자료(월별지수)'!N48-1,"")</f>
        <v>-0.303536821705426</v>
      </c>
      <c r="M48" s="12" t="n">
        <f aca="false">IFERROR('원자료(월별지수)'!P48/'원자료(월별지수)'!O48-1,"")</f>
        <v>0.030695652173913</v>
      </c>
      <c r="N48" s="12" t="n">
        <f aca="false">IFERROR('원자료(월별지수)'!Q48/'원자료(월별지수)'!P48-1,"")</f>
        <v>0.136505526027166</v>
      </c>
      <c r="O48" s="12" t="n">
        <f aca="false">IFERROR('원자료(월별지수)'!R48/'원자료(월별지수)'!Q48-1,"")</f>
        <v>-0.0930888575458393</v>
      </c>
      <c r="P48" s="12" t="n">
        <f aca="false">IFERROR('원자료(월별지수)'!S48/'원자료(월별지수)'!R48-1,"")</f>
        <v>-0.0865187852991733</v>
      </c>
      <c r="Q48" s="12" t="n">
        <f aca="false">IFERROR('원자료(월별지수)'!T48/'원자료(월별지수)'!S48-1,"")</f>
        <v>-0.00869175627240137</v>
      </c>
      <c r="R48" s="12" t="n">
        <f aca="false">IFERROR('원자료(월별지수)'!U48/'원자료(월별지수)'!T48-1,"")</f>
        <v>0</v>
      </c>
      <c r="S48" s="12" t="n">
        <f aca="false">IFERROR('원자료(월별지수)'!V48/'원자료(월별지수)'!U48-1,"")</f>
        <v>0.197414806110458</v>
      </c>
      <c r="T48" s="12" t="n">
        <f aca="false">IFERROR('원자료(월별지수)'!W48/'원자료(월별지수)'!V48-1,"")</f>
        <v>0</v>
      </c>
      <c r="U48" s="12" t="n">
        <f aca="false">IFERROR('원자료(월별지수)'!X48/'원자료(월별지수)'!W48-1,"")</f>
        <v>-0.143881633577414</v>
      </c>
      <c r="V48" s="12" t="n">
        <f aca="false">IFERROR('원자료(월별지수)'!Y48/'원자료(월별지수)'!X48-1,"")</f>
        <v>0</v>
      </c>
      <c r="W48" s="12" t="n">
        <f aca="false">IFERROR('원자료(월별지수)'!Z48/'원자료(월별지수)'!Y48-1,"")</f>
        <v>0.0084648620051142</v>
      </c>
      <c r="X48" s="12" t="n">
        <f aca="false">IFERROR('원자료(월별지수)'!AA48/'원자료(월별지수)'!Z48-1,"")</f>
        <v>0.0238698959517356</v>
      </c>
      <c r="Y48" s="12" t="n">
        <f aca="false">IFERROR('원자료(월별지수)'!AB48/'원자료(월별지수)'!AA48-1,"")</f>
        <v>-0.0817250213492741</v>
      </c>
      <c r="Z48" s="12" t="n">
        <f aca="false">IFERROR('원자료(월별지수)'!AC48/'원자료(월별지수)'!AB48-1,"")</f>
        <v>0</v>
      </c>
      <c r="AA48" s="12" t="n">
        <f aca="false">IFERROR('원자료(월별지수)'!AD48/'원자료(월별지수)'!AC48-1,"")</f>
        <v>-0.0144145819771226</v>
      </c>
      <c r="AB48" s="12" t="n">
        <f aca="false">IFERROR('원자료(월별지수)'!AE48/'원자료(월별지수)'!AD48-1,"")</f>
        <v>0.107190035855822</v>
      </c>
      <c r="AC48" s="12" t="n">
        <f aca="false">IFERROR('원자료(월별지수)'!AF48/'원자료(월별지수)'!AE48-1,"")</f>
        <v>0.129026759843191</v>
      </c>
      <c r="AD48" s="12" t="n">
        <f aca="false">IFERROR('원자료(월별지수)'!AG48/'원자료(월별지수)'!AF48-1,"")</f>
        <v>0</v>
      </c>
      <c r="AE48" s="12" t="n">
        <f aca="false">IFERROR('원자료(월별지수)'!AH48/'원자료(월별지수)'!AG48-1,"")</f>
        <v>0.0156250000000002</v>
      </c>
      <c r="AF48" s="12" t="n">
        <f aca="false">IFERROR('원자료(월별지수)'!AI48/'원자료(월별지수)'!AH48-1,"")</f>
        <v>0</v>
      </c>
      <c r="AG48" s="12" t="n">
        <f aca="false">IFERROR('원자료(월별지수)'!AJ48/'원자료(월별지수)'!AI48-1,"")</f>
        <v>0</v>
      </c>
      <c r="AH48" s="12" t="n">
        <f aca="false">IFERROR('원자료(월별지수)'!AK48/'원자료(월별지수)'!AJ48-1,"")</f>
        <v>-0.118097361575623</v>
      </c>
      <c r="AI48" s="12" t="n">
        <f aca="false">IFERROR('원자료(월별지수)'!AL48/'원자료(월별지수)'!AK48-1,"")</f>
        <v>-0.0590763526040788</v>
      </c>
      <c r="AJ48" s="12" t="n">
        <f aca="false">IFERROR('원자료(월별지수)'!AM48/'원자료(월별지수)'!AL48-1,"")</f>
        <v>0.193282579489476</v>
      </c>
      <c r="AK48" s="12" t="n">
        <f aca="false">IFERROR('원자료(월별지수)'!AN48/'원자료(월별지수)'!AM48-1,"")</f>
        <v>0</v>
      </c>
      <c r="AL48" s="12" t="n">
        <f aca="false">IFERROR('원자료(월별지수)'!AO48/'원자료(월별지수)'!AN48-1,"")</f>
        <v>0</v>
      </c>
      <c r="AM48" s="12" t="n">
        <f aca="false">IFERROR('원자료(월별지수)'!AP48/'원자료(월별지수)'!AO48-1,"")</f>
        <v>0.234406665165503</v>
      </c>
      <c r="AN48" s="12" t="n">
        <f aca="false">IFERROR('원자료(월별지수)'!AQ48/'원자료(월별지수)'!AP48-1,"")</f>
        <v>-0.20175118569865</v>
      </c>
      <c r="AO48" s="12" t="n">
        <f aca="false">IFERROR('원자료(월별지수)'!AR48/'원자료(월별지수)'!AQ48-1,"")</f>
        <v>-0.0529402803168799</v>
      </c>
      <c r="AP48" s="12" t="n">
        <f aca="false">IFERROR('원자료(월별지수)'!AS48/'원자료(월별지수)'!AR48-1,"")</f>
        <v>0.0139145821603797</v>
      </c>
      <c r="AQ48" s="12" t="n">
        <f aca="false">IFERROR('원자료(월별지수)'!AT48/'원자료(월별지수)'!AS48-1,"")</f>
        <v>-0.0522766936379502</v>
      </c>
      <c r="AR48" s="12" t="n">
        <f aca="false">IFERROR('원자료(월별지수)'!AU48/'원자료(월별지수)'!AT48-1,"")</f>
        <v>0.0798526826818446</v>
      </c>
      <c r="AS48" s="12" t="n">
        <f aca="false">IFERROR('원자료(월별지수)'!AV48/'원자료(월별지수)'!AU48-1,"")</f>
        <v>0.0408495465467793</v>
      </c>
      <c r="AT48" s="12" t="n">
        <f aca="false">IFERROR('원자료(월별지수)'!AW48/'원자료(월별지수)'!AV48-1,"")</f>
        <v>-0.105451295799821</v>
      </c>
      <c r="AU48" s="12" t="n">
        <f aca="false">IFERROR('원자료(월별지수)'!AX48/'원자료(월별지수)'!AW48-1,"")</f>
        <v>0.300449550449551</v>
      </c>
      <c r="AV48" s="12" t="n">
        <f aca="false">IFERROR('원자료(월별지수)'!AY48/'원자료(월별지수)'!AX48-1,"")</f>
        <v>0.0320722104858844</v>
      </c>
      <c r="AW48" s="12" t="n">
        <f aca="false">IFERROR('원자료(월별지수)'!AZ48/'원자료(월별지수)'!AY48-1,"")</f>
        <v>-0.00595459620394501</v>
      </c>
      <c r="AX48" s="12" t="n">
        <f aca="false">IFERROR('원자료(월별지수)'!BA48/'원자료(월별지수)'!AZ48-1,"")</f>
        <v>-0.0396231124422812</v>
      </c>
      <c r="AY48" s="12" t="n">
        <f aca="false">IFERROR('원자료(월별지수)'!BB48/'원자료(월별지수)'!BA48-1,"")</f>
        <v>-0.0387239295692289</v>
      </c>
      <c r="AZ48" s="12" t="n">
        <f aca="false">IFERROR('원자료(월별지수)'!BC48/'원자료(월별지수)'!BB48-1,"")</f>
        <v>-0.0754984792159512</v>
      </c>
      <c r="BA48" s="12" t="n">
        <f aca="false">IFERROR('원자료(월별지수)'!BD48/'원자료(월별지수)'!BC48-1,"")</f>
        <v>-0.00219330311449051</v>
      </c>
      <c r="BB48" s="12" t="n">
        <f aca="false">IFERROR('원자료(월별지수)'!BE48/'원자료(월별지수)'!BD48-1,"")</f>
        <v>-0.0253516998827665</v>
      </c>
      <c r="BC48" s="12" t="n">
        <f aca="false">IFERROR('원자료(월별지수)'!BF48/'원자료(월별지수)'!BE48-1,"")</f>
        <v>-0.0519470756277253</v>
      </c>
      <c r="BD48" s="12" t="n">
        <f aca="false">IFERROR('원자료(월별지수)'!BG48/'원자료(월별지수)'!BF48-1,"")</f>
        <v>-0.0440091983189279</v>
      </c>
      <c r="BE48" s="12" t="n">
        <f aca="false">IFERROR('원자료(월별지수)'!BH48/'원자료(월별지수)'!BG48-1,"")</f>
        <v>0.0802090245520901</v>
      </c>
      <c r="BF48" s="12" t="n">
        <f aca="false">IFERROR('원자료(월별지수)'!BI48/'원자료(월별지수)'!BH48-1,"")</f>
        <v>0.142977808492667</v>
      </c>
      <c r="BG48" s="12" t="n">
        <f aca="false">IFERROR('원자료(월별지수)'!BJ48/'원자료(월별지수)'!BI48-1,"")</f>
        <v>0.0417870339267719</v>
      </c>
      <c r="BH48" s="12" t="n">
        <f aca="false">IFERROR('원자료(월별지수)'!BK48/'원자료(월별지수)'!BJ48-1,"")</f>
        <v>-0.0194750757722317</v>
      </c>
      <c r="BI48" s="12" t="n">
        <f aca="false">IFERROR('원자료(월별지수)'!BL48/'원자료(월별지수)'!BK48-1,"")</f>
        <v>-0.0457086484708978</v>
      </c>
      <c r="BJ48" s="12" t="n">
        <f aca="false">IFERROR('원자료(월별지수)'!BM48/'원자료(월별지수)'!BL48-1,"")</f>
        <v>0.0210889042039972</v>
      </c>
      <c r="BK48" s="12" t="n">
        <f aca="false">IFERROR('원자료(월별지수)'!BN48/'원자료(월별지수)'!BM48-1,"")</f>
        <v>0.00384719222462193</v>
      </c>
      <c r="BL48" s="12" t="n">
        <f aca="false">IFERROR('원자료(월별지수)'!BO48/'원자료(월별지수)'!BN48-1,"")</f>
        <v>-0.00840449136018284</v>
      </c>
      <c r="BM48" s="12" t="n">
        <f aca="false">IFERROR('원자료(월별지수)'!BP48/'원자료(월별지수)'!BO48-1,"")</f>
        <v>-0.0486845673989692</v>
      </c>
      <c r="BN48" s="12" t="n">
        <f aca="false">IFERROR('원자료(월별지수)'!BQ48/'원자료(월별지수)'!BP48-1,"")</f>
        <v>-0.00406272273699226</v>
      </c>
    </row>
    <row r="49" customFormat="false" ht="15" hidden="false" customHeight="false" outlineLevel="0" collapsed="false">
      <c r="A49" s="8" t="s">
        <v>135</v>
      </c>
      <c r="B49" s="9" t="s">
        <v>142</v>
      </c>
      <c r="C49" s="12" t="n">
        <f aca="false">IFERROR('원자료(월별지수)'!F49/'원자료(월별지수)'!E49-1,"")</f>
        <v>-0.0193029490616622</v>
      </c>
      <c r="D49" s="12" t="n">
        <f aca="false">IFERROR('원자료(월별지수)'!G49/'원자료(월별지수)'!F49-1,"")</f>
        <v>0.0986331328594861</v>
      </c>
      <c r="E49" s="12" t="n">
        <f aca="false">IFERROR('원자료(월별지수)'!H49/'원자료(월별지수)'!G49-1,"")</f>
        <v>-0.0957499751169504</v>
      </c>
      <c r="F49" s="12" t="n">
        <f aca="false">IFERROR('원자료(월별지수)'!I49/'원자료(월별지수)'!H49-1,"")</f>
        <v>0.126472206934507</v>
      </c>
      <c r="G49" s="12" t="n">
        <f aca="false">IFERROR('원자료(월별지수)'!J49/'원자료(월별지수)'!I49-1,"")</f>
        <v>0.00019542700801245</v>
      </c>
      <c r="H49" s="12" t="n">
        <f aca="false">IFERROR('원자료(월별지수)'!K49/'원자료(월별지수)'!J49-1,"")</f>
        <v>-0.0325322391559203</v>
      </c>
      <c r="I49" s="12" t="n">
        <f aca="false">IFERROR('원자료(월별지수)'!L49/'원자료(월별지수)'!K49-1,"")</f>
        <v>-0.00737150358477234</v>
      </c>
      <c r="J49" s="12" t="n">
        <f aca="false">IFERROR('원자료(월별지수)'!M49/'원자료(월별지수)'!L49-1,"")</f>
        <v>-0.0468972533062055</v>
      </c>
      <c r="K49" s="12" t="n">
        <f aca="false">IFERROR('원자료(월별지수)'!N49/'원자료(월별지수)'!M49-1,"")</f>
        <v>-0.0144092219020172</v>
      </c>
      <c r="L49" s="12" t="n">
        <f aca="false">IFERROR('원자료(월별지수)'!O49/'원자료(월별지수)'!N49-1,"")</f>
        <v>0.105696339614468</v>
      </c>
      <c r="M49" s="12" t="n">
        <f aca="false">IFERROR('원자료(월별지수)'!P49/'원자료(월별지수)'!O49-1,"")</f>
        <v>-0.0761998041136142</v>
      </c>
      <c r="N49" s="12" t="n">
        <f aca="false">IFERROR('원자료(월별지수)'!Q49/'원자료(월별지수)'!P49-1,"")</f>
        <v>0.0180237489397794</v>
      </c>
      <c r="O49" s="12" t="n">
        <f aca="false">IFERROR('원자료(월별지수)'!R49/'원자료(월별지수)'!Q49-1,"")</f>
        <v>0.0638408664861487</v>
      </c>
      <c r="P49" s="12" t="n">
        <f aca="false">IFERROR('원자료(월별지수)'!S49/'원자료(월별지수)'!R49-1,"")</f>
        <v>-0.0800783162016643</v>
      </c>
      <c r="Q49" s="12" t="n">
        <f aca="false">IFERROR('원자료(월별지수)'!T49/'원자료(월별지수)'!S49-1,"")</f>
        <v>-0.0468234542939237</v>
      </c>
      <c r="R49" s="12" t="n">
        <f aca="false">IFERROR('원자료(월별지수)'!U49/'원자료(월별지수)'!T49-1,"")</f>
        <v>0.0936697554984929</v>
      </c>
      <c r="S49" s="12" t="n">
        <f aca="false">IFERROR('원자료(월별지수)'!V49/'원자료(월별지수)'!U49-1,"")</f>
        <v>0.219375255206207</v>
      </c>
      <c r="T49" s="12" t="n">
        <f aca="false">IFERROR('원자료(월별지수)'!W49/'원자료(월별지수)'!V49-1,"")</f>
        <v>-0.0462118041021348</v>
      </c>
      <c r="U49" s="12" t="n">
        <f aca="false">IFERROR('원자료(월별지수)'!X49/'원자료(월별지수)'!W49-1,"")</f>
        <v>0.0169402264548406</v>
      </c>
      <c r="V49" s="12" t="n">
        <f aca="false">IFERROR('원자료(월별지수)'!Y49/'원자료(월별지수)'!X49-1,"")</f>
        <v>-0.0590367685137235</v>
      </c>
      <c r="W49" s="12" t="n">
        <f aca="false">IFERROR('원자료(월별지수)'!Z49/'원자료(월별지수)'!Y49-1,"")</f>
        <v>-0.0144010273344339</v>
      </c>
      <c r="X49" s="12" t="n">
        <f aca="false">IFERROR('원자료(월별지수)'!AA49/'원자료(월별지수)'!Z49-1,"")</f>
        <v>0.0362959516053978</v>
      </c>
      <c r="Y49" s="12" t="n">
        <f aca="false">IFERROR('원자료(월별지수)'!AB49/'원자료(월별지수)'!AA49-1,"")</f>
        <v>0.100853165693758</v>
      </c>
      <c r="Z49" s="12" t="n">
        <f aca="false">IFERROR('원자료(월별지수)'!AC49/'원자료(월별지수)'!AB49-1,"")</f>
        <v>0.0190079947789199</v>
      </c>
      <c r="AA49" s="12" t="n">
        <f aca="false">IFERROR('원자료(월별지수)'!AD49/'원자료(월별지수)'!AC49-1,"")</f>
        <v>0.0151308942438555</v>
      </c>
      <c r="AB49" s="12" t="n">
        <f aca="false">IFERROR('원자료(월별지수)'!AE49/'원자료(월별지수)'!AD49-1,"")</f>
        <v>-0.0884858044164038</v>
      </c>
      <c r="AC49" s="12" t="n">
        <f aca="false">IFERROR('원자료(월별지수)'!AF49/'원자료(월별지수)'!AE49-1,"")</f>
        <v>-0.0421353175289843</v>
      </c>
      <c r="AD49" s="12" t="n">
        <f aca="false">IFERROR('원자료(월별지수)'!AG49/'원자료(월별지수)'!AF49-1,"")</f>
        <v>0.0751512961792069</v>
      </c>
      <c r="AE49" s="12" t="n">
        <f aca="false">IFERROR('원자료(월별지수)'!AH49/'원자료(월별지수)'!AG49-1,"")</f>
        <v>0.0788036629421154</v>
      </c>
      <c r="AF49" s="12" t="n">
        <f aca="false">IFERROR('원자료(월별지수)'!AI49/'원자료(월별지수)'!AH49-1,"")</f>
        <v>-0.159489136360097</v>
      </c>
      <c r="AG49" s="12" t="n">
        <f aca="false">IFERROR('원자료(월별지수)'!AJ49/'원자료(월별지수)'!AI49-1,"")</f>
        <v>-0.0253868247938479</v>
      </c>
      <c r="AH49" s="12" t="n">
        <f aca="false">IFERROR('원자료(월별지수)'!AK49/'원자료(월별지수)'!AJ49-1,"")</f>
        <v>-0.0520962068637704</v>
      </c>
      <c r="AI49" s="12" t="n">
        <f aca="false">IFERROR('원자료(월별지수)'!AL49/'원자료(월별지수)'!AK49-1,"")</f>
        <v>-0.146224049744258</v>
      </c>
      <c r="AJ49" s="12" t="n">
        <f aca="false">IFERROR('원자료(월별지수)'!AM49/'원자료(월별지수)'!AL49-1,"")</f>
        <v>0.235639610008223</v>
      </c>
      <c r="AK49" s="12" t="n">
        <f aca="false">IFERROR('원자료(월별지수)'!AN49/'원자료(월별지수)'!AM49-1,"")</f>
        <v>0.140697784960548</v>
      </c>
      <c r="AL49" s="12" t="n">
        <f aca="false">IFERROR('원자료(월별지수)'!AO49/'원자료(월별지수)'!AN49-1,"")</f>
        <v>0.0630885907158931</v>
      </c>
      <c r="AM49" s="12" t="n">
        <f aca="false">IFERROR('원자료(월별지수)'!AP49/'원자료(월별지수)'!AO49-1,"")</f>
        <v>-0.0431953590467231</v>
      </c>
      <c r="AN49" s="12" t="n">
        <f aca="false">IFERROR('원자료(월별지수)'!AQ49/'원자료(월별지수)'!AP49-1,"")</f>
        <v>0.0140925850061451</v>
      </c>
      <c r="AO49" s="12" t="n">
        <f aca="false">IFERROR('원자료(월별지수)'!AR49/'원자료(월별지수)'!AQ49-1,"")</f>
        <v>-0.233659206592874</v>
      </c>
      <c r="AP49" s="12" t="n">
        <f aca="false">IFERROR('원자료(월별지수)'!AS49/'원자료(월별지수)'!AR49-1,"")</f>
        <v>-0.0196099103848181</v>
      </c>
      <c r="AQ49" s="12" t="n">
        <f aca="false">IFERROR('원자료(월별지수)'!AT49/'원자료(월별지수)'!AS49-1,"")</f>
        <v>0.106570598989139</v>
      </c>
      <c r="AR49" s="12" t="n">
        <f aca="false">IFERROR('원자료(월별지수)'!AU49/'원자료(월별지수)'!AT49-1,"")</f>
        <v>0.22069970845481</v>
      </c>
      <c r="AS49" s="12" t="n">
        <f aca="false">IFERROR('원자료(월별지수)'!AV49/'원자료(월별지수)'!AU49-1,"")</f>
        <v>-0.204999601942521</v>
      </c>
      <c r="AT49" s="12" t="n">
        <f aca="false">IFERROR('원자료(월별지수)'!AW49/'원자료(월별지수)'!AV49-1,"")</f>
        <v>-0.154215902263169</v>
      </c>
      <c r="AU49" s="12" t="n">
        <f aca="false">IFERROR('원자료(월별지수)'!AX49/'원자료(월별지수)'!AW49-1,"")</f>
        <v>0.00781434998816022</v>
      </c>
      <c r="AV49" s="12" t="n">
        <f aca="false">IFERROR('원자료(월별지수)'!AY49/'원자료(월별지수)'!AX49-1,"")</f>
        <v>0.214520676691729</v>
      </c>
      <c r="AW49" s="12" t="n">
        <f aca="false">IFERROR('원자료(월별지수)'!AZ49/'원자료(월별지수)'!AY49-1,"")</f>
        <v>0.0600696459663379</v>
      </c>
      <c r="AX49" s="12" t="n">
        <f aca="false">IFERROR('원자료(월별지수)'!BA49/'원자료(월별지수)'!AZ49-1,"")</f>
        <v>-0.00145998722511176</v>
      </c>
      <c r="AY49" s="12" t="n">
        <f aca="false">IFERROR('원자료(월별지수)'!BB49/'원자료(월별지수)'!BA49-1,"")</f>
        <v>0.0677145206981631</v>
      </c>
      <c r="AZ49" s="12" t="n">
        <f aca="false">IFERROR('원자료(월별지수)'!BC49/'원자료(월별지수)'!BB49-1,"")</f>
        <v>-0.0530640191715166</v>
      </c>
      <c r="BA49" s="12" t="n">
        <f aca="false">IFERROR('원자료(월별지수)'!BD49/'원자료(월별지수)'!BC49-1,"")</f>
        <v>-0.058297180043384</v>
      </c>
      <c r="BB49" s="12" t="n">
        <f aca="false">IFERROR('원자료(월별지수)'!BE49/'원자료(월별지수)'!BD49-1,"")</f>
        <v>-0.153373644303676</v>
      </c>
      <c r="BC49" s="12" t="n">
        <f aca="false">IFERROR('원자료(월별지수)'!BF49/'원자료(월별지수)'!BE49-1,"")</f>
        <v>0.237728148735971</v>
      </c>
      <c r="BD49" s="12" t="n">
        <f aca="false">IFERROR('원자료(월별지수)'!BG49/'원자료(월별지수)'!BF49-1,"")</f>
        <v>0.113482322769738</v>
      </c>
      <c r="BE49" s="12" t="n">
        <f aca="false">IFERROR('원자료(월별지수)'!BH49/'원자료(월별지수)'!BG49-1,"")</f>
        <v>0.0212223410380852</v>
      </c>
      <c r="BF49" s="12" t="n">
        <f aca="false">IFERROR('원자료(월별지수)'!BI49/'원자료(월별지수)'!BH49-1,"")</f>
        <v>-0.398227950060411</v>
      </c>
      <c r="BG49" s="12" t="n">
        <f aca="false">IFERROR('원자료(월별지수)'!BJ49/'원자료(월별지수)'!BI49-1,"")</f>
        <v>0.150849953152189</v>
      </c>
      <c r="BH49" s="12" t="n">
        <f aca="false">IFERROR('원자료(월별지수)'!BK49/'원자료(월별지수)'!BJ49-1,"")</f>
        <v>0.332170272156315</v>
      </c>
      <c r="BI49" s="12" t="n">
        <f aca="false">IFERROR('원자료(월별지수)'!BL49/'원자료(월별지수)'!BK49-1,"")</f>
        <v>0.132355508992492</v>
      </c>
      <c r="BJ49" s="12" t="n">
        <f aca="false">IFERROR('원자료(월별지수)'!BM49/'원자료(월별지수)'!BL49-1,"")</f>
        <v>-0.158673862760216</v>
      </c>
      <c r="BK49" s="12" t="n">
        <f aca="false">IFERROR('원자료(월별지수)'!BN49/'원자료(월별지수)'!BM49-1,"")</f>
        <v>0.0546187683284456</v>
      </c>
      <c r="BL49" s="12" t="n">
        <f aca="false">IFERROR('원자료(월별지수)'!BO49/'원자료(월별지수)'!BN49-1,"")</f>
        <v>-0.00660410149461244</v>
      </c>
      <c r="BM49" s="12" t="n">
        <f aca="false">IFERROR('원자료(월별지수)'!BP49/'원자료(월별지수)'!BO49-1,"")</f>
        <v>-0.2138733379986</v>
      </c>
      <c r="BN49" s="12" t="n">
        <f aca="false">IFERROR('원자료(월별지수)'!BQ49/'원자료(월별지수)'!BP49-1,"")</f>
        <v>0.405808389896517</v>
      </c>
    </row>
    <row r="50" customFormat="false" ht="15" hidden="false" customHeight="false" outlineLevel="0" collapsed="false">
      <c r="A50" s="8" t="s">
        <v>135</v>
      </c>
      <c r="B50" s="9" t="s">
        <v>143</v>
      </c>
      <c r="C50" s="12" t="n">
        <f aca="false">IFERROR('원자료(월별지수)'!F50/'원자료(월별지수)'!E50-1,"")</f>
        <v>0.0493515058254561</v>
      </c>
      <c r="D50" s="12" t="n">
        <f aca="false">IFERROR('원자료(월별지수)'!G50/'원자료(월별지수)'!F50-1,"")</f>
        <v>0.260710170734262</v>
      </c>
      <c r="E50" s="12" t="n">
        <f aca="false">IFERROR('원자료(월별지수)'!H50/'원자료(월별지수)'!G50-1,"")</f>
        <v>0.0722000664672651</v>
      </c>
      <c r="F50" s="12" t="n">
        <f aca="false">IFERROR('원자료(월별지수)'!I50/'원자료(월별지수)'!H50-1,"")</f>
        <v>0.0886478109259976</v>
      </c>
      <c r="G50" s="12" t="n">
        <f aca="false">IFERROR('원자료(월별지수)'!J50/'원자료(월별지수)'!I50-1,"")</f>
        <v>-0.160794362588085</v>
      </c>
      <c r="H50" s="12" t="n">
        <f aca="false">IFERROR('원자료(월별지수)'!K50/'원자료(월별지수)'!J50-1,"")</f>
        <v>-0.13579304495335</v>
      </c>
      <c r="I50" s="12" t="n">
        <f aca="false">IFERROR('원자료(월별지수)'!L50/'원자료(월별지수)'!K50-1,"")</f>
        <v>-0.012955147708313</v>
      </c>
      <c r="J50" s="12" t="n">
        <f aca="false">IFERROR('원자료(월별지수)'!M50/'원자료(월별지수)'!L50-1,"")</f>
        <v>-0.144476484040966</v>
      </c>
      <c r="K50" s="12" t="n">
        <f aca="false">IFERROR('원자료(월별지수)'!N50/'원자료(월별지수)'!M50-1,"")</f>
        <v>0.0353324035332403</v>
      </c>
      <c r="L50" s="12" t="n">
        <f aca="false">IFERROR('원자료(월별지수)'!O50/'원자료(월별지수)'!N50-1,"")</f>
        <v>0.0675797036371799</v>
      </c>
      <c r="M50" s="12" t="n">
        <f aca="false">IFERROR('원자료(월별지수)'!P50/'원자료(월별지수)'!O50-1,"")</f>
        <v>0.1267087276551</v>
      </c>
      <c r="N50" s="12" t="n">
        <f aca="false">IFERROR('원자료(월별지수)'!Q50/'원자료(월별지수)'!P50-1,"")</f>
        <v>-0.0727951469902007</v>
      </c>
      <c r="O50" s="12" t="n">
        <f aca="false">IFERROR('원자료(월별지수)'!R50/'원자료(월별지수)'!Q50-1,"")</f>
        <v>-0.049119275289381</v>
      </c>
      <c r="P50" s="12" t="n">
        <f aca="false">IFERROR('원자료(월별지수)'!S50/'원자료(월별지수)'!R50-1,"")</f>
        <v>0.127659574468085</v>
      </c>
      <c r="Q50" s="12" t="n">
        <f aca="false">IFERROR('원자료(월별지수)'!T50/'원자료(월별지수)'!S50-1,"")</f>
        <v>0.219938045620952</v>
      </c>
      <c r="R50" s="12" t="n">
        <f aca="false">IFERROR('원자료(월별지수)'!U50/'원자료(월별지수)'!T50-1,"")</f>
        <v>0.0527854724530623</v>
      </c>
      <c r="S50" s="12" t="n">
        <f aca="false">IFERROR('원자료(월별지수)'!V50/'원자료(월별지수)'!U50-1,"")</f>
        <v>-0.111752667738635</v>
      </c>
      <c r="T50" s="12" t="n">
        <f aca="false">IFERROR('원자료(월별지수)'!W50/'원자료(월별지수)'!V50-1,"")</f>
        <v>-0.114128198798651</v>
      </c>
      <c r="U50" s="12" t="n">
        <f aca="false">IFERROR('원자료(월별지수)'!X50/'원자료(월별지수)'!W50-1,"")</f>
        <v>-0.0191343117220881</v>
      </c>
      <c r="V50" s="12" t="n">
        <f aca="false">IFERROR('원자료(월별지수)'!Y50/'원자료(월별지수)'!X50-1,"")</f>
        <v>0.0398674242424244</v>
      </c>
      <c r="W50" s="12" t="n">
        <f aca="false">IFERROR('원자료(월별지수)'!Z50/'원자료(월별지수)'!Y50-1,"")</f>
        <v>-0.0244057918222385</v>
      </c>
      <c r="X50" s="12" t="n">
        <f aca="false">IFERROR('원자료(월별지수)'!AA50/'원자료(월별지수)'!Z50-1,"")</f>
        <v>0.0784094091290954</v>
      </c>
      <c r="Y50" s="12" t="n">
        <f aca="false">IFERROR('원자료(월별지수)'!AB50/'원자료(월별지수)'!AA50-1,"")</f>
        <v>0.134337401540726</v>
      </c>
      <c r="Z50" s="12" t="n">
        <f aca="false">IFERROR('원자료(월별지수)'!AC50/'원자료(월별지수)'!AB50-1,"")</f>
        <v>0.0582983594048072</v>
      </c>
      <c r="AA50" s="12" t="n">
        <f aca="false">IFERROR('원자료(월별지수)'!AD50/'원자료(월별지수)'!AC50-1,"")</f>
        <v>0.0669118177229793</v>
      </c>
      <c r="AB50" s="12" t="n">
        <f aca="false">IFERROR('원자료(월별지수)'!AE50/'원자료(월별지수)'!AD50-1,"")</f>
        <v>0.0633912279516118</v>
      </c>
      <c r="AC50" s="12" t="n">
        <f aca="false">IFERROR('원자료(월별지수)'!AF50/'원자료(월별지수)'!AE50-1,"")</f>
        <v>0.135684779154751</v>
      </c>
      <c r="AD50" s="12" t="n">
        <f aca="false">IFERROR('원자료(월별지수)'!AG50/'원자료(월별지수)'!AF50-1,"")</f>
        <v>-0.074146614437605</v>
      </c>
      <c r="AE50" s="12" t="n">
        <f aca="false">IFERROR('원자료(월별지수)'!AH50/'원자료(월별지수)'!AG50-1,"")</f>
        <v>-0.180961015412511</v>
      </c>
      <c r="AF50" s="12" t="n">
        <f aca="false">IFERROR('원자료(월별지수)'!AI50/'원자료(월별지수)'!AH50-1,"")</f>
        <v>-0.0668585344255036</v>
      </c>
      <c r="AG50" s="12" t="n">
        <f aca="false">IFERROR('원자료(월별지수)'!AJ50/'원자료(월별지수)'!AI50-1,"")</f>
        <v>-0.040015816528272</v>
      </c>
      <c r="AH50" s="12" t="n">
        <f aca="false">IFERROR('원자료(월별지수)'!AK50/'원자료(월별지수)'!AJ50-1,"")</f>
        <v>0.0339401927671144</v>
      </c>
      <c r="AI50" s="12" t="n">
        <f aca="false">IFERROR('원자료(월별지수)'!AL50/'원자료(월별지수)'!AK50-1,"")</f>
        <v>0.00653334395665683</v>
      </c>
      <c r="AJ50" s="12" t="n">
        <f aca="false">IFERROR('원자료(월별지수)'!AM50/'원자료(월별지수)'!AL50-1,"")</f>
        <v>0.14739175176126</v>
      </c>
      <c r="AK50" s="12" t="n">
        <f aca="false">IFERROR('원자료(월별지수)'!AN50/'원자료(월별지수)'!AM50-1,"")</f>
        <v>0.0925836495343222</v>
      </c>
      <c r="AL50" s="12" t="n">
        <f aca="false">IFERROR('원자료(월별지수)'!AO50/'원자료(월별지수)'!AN50-1,"")</f>
        <v>-0.0447054366357266</v>
      </c>
      <c r="AM50" s="12" t="n">
        <f aca="false">IFERROR('원자료(월별지수)'!AP50/'원자료(월별지수)'!AO50-1,"")</f>
        <v>0.0340405843082821</v>
      </c>
      <c r="AN50" s="12" t="n">
        <f aca="false">IFERROR('원자료(월별지수)'!AQ50/'원자료(월별지수)'!AP50-1,"")</f>
        <v>0.199821017642547</v>
      </c>
      <c r="AO50" s="12" t="n">
        <f aca="false">IFERROR('원자료(월별지수)'!AR50/'원자료(월별지수)'!AQ50-1,"")</f>
        <v>-0.0250399573787959</v>
      </c>
      <c r="AP50" s="12" t="n">
        <f aca="false">IFERROR('원자료(월별지수)'!AS50/'원자료(월별지수)'!AR50-1,"")</f>
        <v>0.0239344262295083</v>
      </c>
      <c r="AQ50" s="12" t="n">
        <f aca="false">IFERROR('원자료(월별지수)'!AT50/'원자료(월별지수)'!AS50-1,"")</f>
        <v>-0.0978759739566656</v>
      </c>
      <c r="AR50" s="12" t="n">
        <f aca="false">IFERROR('원자료(월별지수)'!AU50/'원자료(월별지수)'!AT50-1,"")</f>
        <v>-0.02809985802177</v>
      </c>
      <c r="AS50" s="12" t="n">
        <f aca="false">IFERROR('원자료(월별지수)'!AV50/'원자료(월별지수)'!AU50-1,"")</f>
        <v>-0.0646417919532534</v>
      </c>
      <c r="AT50" s="12" t="n">
        <f aca="false">IFERROR('원자료(월별지수)'!AW50/'원자료(월별지수)'!AV50-1,"")</f>
        <v>-0.107893538101126</v>
      </c>
      <c r="AU50" s="12" t="n">
        <f aca="false">IFERROR('원자료(월별지수)'!AX50/'원자료(월별지수)'!AW50-1,"")</f>
        <v>0.00423079728645415</v>
      </c>
      <c r="AV50" s="12" t="n">
        <f aca="false">IFERROR('원자료(월별지수)'!AY50/'원자료(월별지수)'!AX50-1,"")</f>
        <v>-0.00174329919372396</v>
      </c>
      <c r="AW50" s="12" t="n">
        <f aca="false">IFERROR('원자료(월별지수)'!AZ50/'원자료(월별지수)'!AY50-1,"")</f>
        <v>0.196245361274831</v>
      </c>
      <c r="AX50" s="12" t="n">
        <f aca="false">IFERROR('원자료(월별지수)'!BA50/'원자료(월별지수)'!AZ50-1,"")</f>
        <v>0.139416058394161</v>
      </c>
      <c r="AY50" s="12" t="n">
        <f aca="false">IFERROR('원자료(월별지수)'!BB50/'원자료(월별지수)'!BA50-1,"")</f>
        <v>-0.111039931667734</v>
      </c>
      <c r="AZ50" s="12" t="n">
        <f aca="false">IFERROR('원자료(월별지수)'!BC50/'원자료(월별지수)'!BB50-1,"")</f>
        <v>-0.0233005044439107</v>
      </c>
      <c r="BA50" s="12" t="n">
        <f aca="false">IFERROR('원자료(월별지수)'!BD50/'원자료(월별지수)'!BC50-1,"")</f>
        <v>0.156173143138219</v>
      </c>
      <c r="BB50" s="12" t="n">
        <f aca="false">IFERROR('원자료(월별지수)'!BE50/'원자료(월별지수)'!BD50-1,"")</f>
        <v>0.0362688789619232</v>
      </c>
      <c r="BC50" s="12" t="n">
        <f aca="false">IFERROR('원자료(월별지수)'!BF50/'원자료(월별지수)'!BE50-1,"")</f>
        <v>0.00641486195217089</v>
      </c>
      <c r="BD50" s="12" t="n">
        <f aca="false">IFERROR('원자료(월별지수)'!BG50/'원자료(월별지수)'!BF50-1,"")</f>
        <v>-0.192035082351742</v>
      </c>
      <c r="BE50" s="12" t="n">
        <f aca="false">IFERROR('원자료(월별지수)'!BH50/'원자료(월별지수)'!BG50-1,"")</f>
        <v>-0.12918901861786</v>
      </c>
      <c r="BF50" s="12" t="n">
        <f aca="false">IFERROR('원자료(월별지수)'!BI50/'원자료(월별지수)'!BH50-1,"")</f>
        <v>0.0188433106247283</v>
      </c>
      <c r="BG50" s="12" t="n">
        <f aca="false">IFERROR('원자료(월별지수)'!BJ50/'원자료(월별지수)'!BI50-1,"")</f>
        <v>0.0874946649594535</v>
      </c>
      <c r="BH50" s="12" t="n">
        <f aca="false">IFERROR('원자료(월별지수)'!BK50/'원자료(월별지수)'!BJ50-1,"")</f>
        <v>0.0801936159079015</v>
      </c>
      <c r="BI50" s="12" t="n">
        <f aca="false">IFERROR('원자료(월별지수)'!BL50/'원자료(월별지수)'!BK50-1,"")</f>
        <v>-0.0530459004481045</v>
      </c>
      <c r="BJ50" s="12" t="n">
        <f aca="false">IFERROR('원자료(월별지수)'!BM50/'원자료(월별지수)'!BL50-1,"")</f>
        <v>0.00728993477426787</v>
      </c>
      <c r="BK50" s="12" t="n">
        <f aca="false">IFERROR('원자료(월별지수)'!BN50/'원자료(월별지수)'!BM50-1,"")</f>
        <v>0.066213814118842</v>
      </c>
      <c r="BL50" s="12" t="n">
        <f aca="false">IFERROR('원자료(월별지수)'!BO50/'원자료(월별지수)'!BN50-1,"")</f>
        <v>-0.00660910985412322</v>
      </c>
      <c r="BM50" s="12" t="n">
        <f aca="false">IFERROR('원자료(월별지수)'!BP50/'원자료(월별지수)'!BO50-1,"")</f>
        <v>0.134320306880844</v>
      </c>
      <c r="BN50" s="12" t="n">
        <f aca="false">IFERROR('원자료(월별지수)'!BQ50/'원자료(월별지수)'!BP50-1,"")</f>
        <v>0.0552708058124174</v>
      </c>
    </row>
    <row r="51" customFormat="false" ht="15" hidden="false" customHeight="false" outlineLevel="0" collapsed="false">
      <c r="A51" s="8" t="s">
        <v>135</v>
      </c>
      <c r="B51" s="9" t="s">
        <v>144</v>
      </c>
      <c r="C51" s="12" t="n">
        <f aca="false">IFERROR('원자료(월별지수)'!F51/'원자료(월별지수)'!E51-1,"")</f>
        <v>0.156156734379513</v>
      </c>
      <c r="D51" s="12" t="n">
        <f aca="false">IFERROR('원자료(월별지수)'!G51/'원자료(월별지수)'!F51-1,"")</f>
        <v>0.093013573153468</v>
      </c>
      <c r="E51" s="12" t="n">
        <f aca="false">IFERROR('원자료(월별지수)'!H51/'원자료(월별지수)'!G51-1,"")</f>
        <v>-0.038549443851897</v>
      </c>
      <c r="F51" s="12" t="n">
        <f aca="false">IFERROR('원자료(월별지수)'!I51/'원자료(월별지수)'!H51-1,"")</f>
        <v>-0.0137083993660856</v>
      </c>
      <c r="G51" s="12" t="n">
        <f aca="false">IFERROR('원자료(월별지수)'!J51/'원자료(월별지수)'!I51-1,"")</f>
        <v>-0.0525427813931068</v>
      </c>
      <c r="H51" s="12" t="n">
        <f aca="false">IFERROR('원자료(월별지수)'!K51/'원자료(월별지수)'!J51-1,"")</f>
        <v>-0.0856440261171882</v>
      </c>
      <c r="I51" s="12" t="n">
        <f aca="false">IFERROR('원자료(월별지수)'!L51/'원자료(월별지수)'!K51-1,"")</f>
        <v>-0.364091625707132</v>
      </c>
      <c r="J51" s="12" t="n">
        <f aca="false">IFERROR('원자료(월별지수)'!M51/'원자료(월별지수)'!L51-1,"")</f>
        <v>0.0835642409216859</v>
      </c>
      <c r="K51" s="12" t="n">
        <f aca="false">IFERROR('원자료(월별지수)'!N51/'원자료(월별지수)'!M51-1,"")</f>
        <v>-0.0644683714670254</v>
      </c>
      <c r="L51" s="12" t="n">
        <f aca="false">IFERROR('원자료(월별지수)'!O51/'원자료(월별지수)'!N51-1,"")</f>
        <v>0.0477629118112501</v>
      </c>
      <c r="M51" s="12" t="n">
        <f aca="false">IFERROR('원자료(월별지수)'!P51/'원자료(월별지수)'!O51-1,"")</f>
        <v>0.131539200878759</v>
      </c>
      <c r="N51" s="12" t="n">
        <f aca="false">IFERROR('원자료(월별지수)'!Q51/'원자료(월별지수)'!P51-1,"")</f>
        <v>0.193665817255188</v>
      </c>
      <c r="O51" s="12" t="n">
        <f aca="false">IFERROR('원자료(월별지수)'!R51/'원자료(월별지수)'!Q51-1,"")</f>
        <v>0.11090779709261</v>
      </c>
      <c r="P51" s="12" t="n">
        <f aca="false">IFERROR('원자료(월별지수)'!S51/'원자료(월별지수)'!R51-1,"")</f>
        <v>0.134699853587116</v>
      </c>
      <c r="Q51" s="12" t="n">
        <f aca="false">IFERROR('원자료(월별지수)'!T51/'원자료(월별지수)'!S51-1,"")</f>
        <v>-0.0932258064516129</v>
      </c>
      <c r="R51" s="12" t="n">
        <f aca="false">IFERROR('원자료(월별지수)'!U51/'원자료(월별지수)'!T51-1,"")</f>
        <v>-0.107257203842049</v>
      </c>
      <c r="S51" s="12" t="n">
        <f aca="false">IFERROR('원자료(월별지수)'!V51/'원자료(월별지수)'!U51-1,"")</f>
        <v>-0.0818888224745965</v>
      </c>
      <c r="T51" s="12" t="n">
        <f aca="false">IFERROR('원자료(월별지수)'!W51/'원자료(월별지수)'!V51-1,"")</f>
        <v>-0.0835503472222222</v>
      </c>
      <c r="U51" s="12" t="n">
        <f aca="false">IFERROR('원자료(월별지수)'!X51/'원자료(월별지수)'!W51-1,"")</f>
        <v>-0.351408950982714</v>
      </c>
      <c r="V51" s="12" t="n">
        <f aca="false">IFERROR('원자료(월별지수)'!Y51/'원자료(월별지수)'!X51-1,"")</f>
        <v>0.0781307046367288</v>
      </c>
      <c r="W51" s="12" t="n">
        <f aca="false">IFERROR('원자료(월별지수)'!Z51/'원자료(월별지수)'!Y51-1,"")</f>
        <v>0.180155773789367</v>
      </c>
      <c r="X51" s="12" t="n">
        <f aca="false">IFERROR('원자료(월별지수)'!AA51/'원자료(월별지수)'!Z51-1,"")</f>
        <v>0.170301291248206</v>
      </c>
      <c r="Y51" s="12" t="n">
        <f aca="false">IFERROR('원자료(월별지수)'!AB51/'원자료(월별지수)'!AA51-1,"")</f>
        <v>0.13313718278779</v>
      </c>
      <c r="Z51" s="12" t="n">
        <f aca="false">IFERROR('원자료(월별지수)'!AC51/'원자료(월별지수)'!AB51-1,"")</f>
        <v>0.15211511414043</v>
      </c>
      <c r="AA51" s="12" t="n">
        <f aca="false">IFERROR('원자료(월별지수)'!AD51/'원자료(월별지수)'!AC51-1,"")</f>
        <v>0.0125833411587943</v>
      </c>
      <c r="AB51" s="12" t="n">
        <f aca="false">IFERROR('원자료(월별지수)'!AE51/'원자료(월별지수)'!AD51-1,"")</f>
        <v>-0.00667717703793003</v>
      </c>
      <c r="AC51" s="12" t="n">
        <f aca="false">IFERROR('원자료(월별지수)'!AF51/'원자료(월별지수)'!AE51-1,"")</f>
        <v>0.000933619643357142</v>
      </c>
      <c r="AD51" s="12" t="n">
        <f aca="false">IFERROR('원자료(월별지수)'!AG51/'원자료(월별지수)'!AF51-1,"")</f>
        <v>-0.0160432795448185</v>
      </c>
      <c r="AE51" s="12" t="n">
        <f aca="false">IFERROR('원자료(월별지수)'!AH51/'원자료(월별지수)'!AG51-1,"")</f>
        <v>-0.141056024267703</v>
      </c>
      <c r="AF51" s="12" t="n">
        <f aca="false">IFERROR('원자료(월별지수)'!AI51/'원자료(월별지수)'!AH51-1,"")</f>
        <v>-0.0389581723871537</v>
      </c>
      <c r="AG51" s="12" t="n">
        <f aca="false">IFERROR('원자료(월별지수)'!AJ51/'원자료(월별지수)'!AI51-1,"")</f>
        <v>-0.390790078089114</v>
      </c>
      <c r="AH51" s="12" t="n">
        <f aca="false">IFERROR('원자료(월별지수)'!AK51/'원자료(월별지수)'!AJ51-1,"")</f>
        <v>-0.0267672007540055</v>
      </c>
      <c r="AI51" s="12" t="n">
        <f aca="false">IFERROR('원자료(월별지수)'!AL51/'원자료(월별지수)'!AK51-1,"")</f>
        <v>0.0214991284137129</v>
      </c>
      <c r="AJ51" s="12" t="n">
        <f aca="false">IFERROR('원자료(월별지수)'!AM51/'원자료(월별지수)'!AL51-1,"")</f>
        <v>0.226772847933258</v>
      </c>
      <c r="AK51" s="12" t="n">
        <f aca="false">IFERROR('원자료(월별지수)'!AN51/'원자료(월별지수)'!AM51-1,"")</f>
        <v>0.106336939721793</v>
      </c>
      <c r="AL51" s="12" t="n">
        <f aca="false">IFERROR('원자료(월별지수)'!AO51/'원자료(월별지수)'!AN51-1,"")</f>
        <v>0.133556859457949</v>
      </c>
      <c r="AM51" s="12" t="n">
        <f aca="false">IFERROR('원자료(월별지수)'!AP51/'원자료(월별지수)'!AO51-1,"")</f>
        <v>0.168597485826966</v>
      </c>
      <c r="AN51" s="12" t="n">
        <f aca="false">IFERROR('원자료(월별지수)'!AQ51/'원자료(월별지수)'!AP51-1,"")</f>
        <v>0.00442944526471201</v>
      </c>
      <c r="AO51" s="12" t="n">
        <f aca="false">IFERROR('원자료(월별지수)'!AR51/'원자료(월별지수)'!AQ51-1,"")</f>
        <v>-0.172406551868963</v>
      </c>
      <c r="AP51" s="12" t="n">
        <f aca="false">IFERROR('원자료(월별지수)'!AS51/'원자료(월별지수)'!AR51-1,"")</f>
        <v>-0.121035270235981</v>
      </c>
      <c r="AQ51" s="12" t="n">
        <f aca="false">IFERROR('원자료(월별지수)'!AT51/'원자료(월별지수)'!AS51-1,"")</f>
        <v>-0.126732101616628</v>
      </c>
      <c r="AR51" s="12" t="n">
        <f aca="false">IFERROR('원자료(월별지수)'!AU51/'원자료(월별지수)'!AT51-1,"")</f>
        <v>-0.00479338842975208</v>
      </c>
      <c r="AS51" s="12" t="n">
        <f aca="false">IFERROR('원자료(월별지수)'!AV51/'원자료(월별지수)'!AU51-1,"")</f>
        <v>-0.274040857000498</v>
      </c>
      <c r="AT51" s="12" t="n">
        <f aca="false">IFERROR('원자료(월별지수)'!AW51/'원자료(월별지수)'!AV51-1,"")</f>
        <v>0.273621596888584</v>
      </c>
      <c r="AU51" s="12" t="n">
        <f aca="false">IFERROR('원자료(월별지수)'!AX51/'원자료(월별지수)'!AW51-1,"")</f>
        <v>0.24214118915035</v>
      </c>
      <c r="AV51" s="12" t="n">
        <f aca="false">IFERROR('원자료(월별지수)'!AY51/'원자료(월별지수)'!AX51-1,"")</f>
        <v>-0.0124367317425885</v>
      </c>
      <c r="AW51" s="12" t="n">
        <f aca="false">IFERROR('원자료(월별지수)'!AZ51/'원자료(월별지수)'!AY51-1,"")</f>
        <v>0.0528627910382193</v>
      </c>
      <c r="AX51" s="12" t="n">
        <f aca="false">IFERROR('원자료(월별지수)'!BA51/'원자료(월별지수)'!AZ51-1,"")</f>
        <v>0.224756606397775</v>
      </c>
      <c r="AY51" s="12" t="n">
        <f aca="false">IFERROR('원자료(월별지수)'!BB51/'원자료(월별지수)'!BA51-1,"")</f>
        <v>0.0136270724506018</v>
      </c>
      <c r="AZ51" s="12" t="n">
        <f aca="false">IFERROR('원자료(월별지수)'!BC51/'원자료(월별지수)'!BB51-1,"")</f>
        <v>0.222496078870715</v>
      </c>
      <c r="BA51" s="12" t="n">
        <f aca="false">IFERROR('원자료(월별지수)'!BD51/'원자료(월별지수)'!BC51-1,"")</f>
        <v>-0.0527859237536658</v>
      </c>
      <c r="BB51" s="12" t="n">
        <f aca="false">IFERROR('원자료(월별지수)'!BE51/'원자료(월별지수)'!BD51-1,"")</f>
        <v>0.0285410216718267</v>
      </c>
      <c r="BC51" s="12" t="n">
        <f aca="false">IFERROR('원자료(월별지수)'!BF51/'원자료(월별지수)'!BE51-1,"")</f>
        <v>-0.0869156241181451</v>
      </c>
      <c r="BD51" s="12" t="n">
        <f aca="false">IFERROR('원자료(월별지수)'!BG51/'원자료(월별지수)'!BF51-1,"")</f>
        <v>-0.0949830019573503</v>
      </c>
      <c r="BE51" s="12" t="n">
        <f aca="false">IFERROR('원자료(월별지수)'!BH51/'원자료(월별지수)'!BG51-1,"")</f>
        <v>-0.410358565737052</v>
      </c>
      <c r="BF51" s="12" t="n">
        <f aca="false">IFERROR('원자료(월별지수)'!BI51/'원자료(월별지수)'!BH51-1,"")</f>
        <v>-0.0206563706563707</v>
      </c>
      <c r="BG51" s="12" t="n">
        <f aca="false">IFERROR('원자료(월별지수)'!BJ51/'원자료(월별지수)'!BI51-1,"")</f>
        <v>0.171890400157698</v>
      </c>
      <c r="BH51" s="12" t="n">
        <f aca="false">IFERROR('원자료(월별지수)'!BK51/'원자료(월별지수)'!BJ51-1,"")</f>
        <v>0.15475189234651</v>
      </c>
      <c r="BI51" s="12" t="n">
        <f aca="false">IFERROR('원자료(월별지수)'!BL51/'원자료(월별지수)'!BK51-1,"")</f>
        <v>0.100072833211944</v>
      </c>
      <c r="BJ51" s="12" t="n">
        <f aca="false">IFERROR('원자료(월별지수)'!BM51/'원자료(월별지수)'!BL51-1,"")</f>
        <v>0.154528601694915</v>
      </c>
      <c r="BK51" s="12" t="n">
        <f aca="false">IFERROR('원자료(월별지수)'!BN51/'원자료(월별지수)'!BM51-1,"")</f>
        <v>0.22158504415644</v>
      </c>
      <c r="BL51" s="12" t="n">
        <f aca="false">IFERROR('원자료(월별지수)'!BO51/'원자료(월별지수)'!BN51-1,"")</f>
        <v>0.0312646699840391</v>
      </c>
      <c r="BM51" s="12" t="n">
        <f aca="false">IFERROR('원자료(월별지수)'!BP51/'원자료(월별지수)'!BO51-1,"")</f>
        <v>-0.119901675163875</v>
      </c>
      <c r="BN51" s="12" t="n">
        <f aca="false">IFERROR('원자료(월별지수)'!BQ51/'원자료(월별지수)'!BP51-1,"")</f>
        <v>0.0395158787628012</v>
      </c>
    </row>
    <row r="52" customFormat="false" ht="15" hidden="false" customHeight="false" outlineLevel="0" collapsed="false">
      <c r="A52" s="8" t="s">
        <v>135</v>
      </c>
      <c r="B52" s="9" t="s">
        <v>145</v>
      </c>
      <c r="C52" s="12" t="n">
        <f aca="false">IFERROR('원자료(월별지수)'!F52/'원자료(월별지수)'!E52-1,"")</f>
        <v>0.0620918776492152</v>
      </c>
      <c r="D52" s="12" t="n">
        <f aca="false">IFERROR('원자료(월별지수)'!G52/'원자료(월별지수)'!F52-1,"")</f>
        <v>-0.0954589580412038</v>
      </c>
      <c r="E52" s="12" t="n">
        <f aca="false">IFERROR('원자료(월별지수)'!H52/'원자료(월별지수)'!G52-1,"")</f>
        <v>-0.00667779632721199</v>
      </c>
      <c r="F52" s="12" t="n">
        <f aca="false">IFERROR('원자료(월별지수)'!I52/'원자료(월별지수)'!H52-1,"")</f>
        <v>0.215726290516207</v>
      </c>
      <c r="G52" s="12" t="n">
        <f aca="false">IFERROR('원자료(월별지수)'!J52/'원자료(월별지수)'!I52-1,"")</f>
        <v>-0.048780487804878</v>
      </c>
      <c r="H52" s="12" t="n">
        <f aca="false">IFERROR('원자료(월별지수)'!K52/'원자료(월별지수)'!J52-1,"")</f>
        <v>-0.0602096958372261</v>
      </c>
      <c r="I52" s="12" t="n">
        <f aca="false">IFERROR('원자료(월별지수)'!L52/'원자료(월별지수)'!K52-1,"")</f>
        <v>-0.178172981332155</v>
      </c>
      <c r="J52" s="12" t="n">
        <f aca="false">IFERROR('원자료(월별지수)'!M52/'원자료(월별지수)'!L52-1,"")</f>
        <v>0.123521505376344</v>
      </c>
      <c r="K52" s="12" t="n">
        <f aca="false">IFERROR('원자료(월별지수)'!N52/'원자료(월별지수)'!M52-1,"")</f>
        <v>0.106232802966862</v>
      </c>
      <c r="L52" s="12" t="n">
        <f aca="false">IFERROR('원자료(월별지수)'!O52/'원자료(월별지수)'!N52-1,"")</f>
        <v>0.0555855953282145</v>
      </c>
      <c r="M52" s="12" t="n">
        <f aca="false">IFERROR('원자료(월별지수)'!P52/'원자료(월별지수)'!O52-1,"")</f>
        <v>-0.0150599323839771</v>
      </c>
      <c r="N52" s="12" t="n">
        <f aca="false">IFERROR('원자료(월별지수)'!Q52/'원자료(월별지수)'!P52-1,"")</f>
        <v>0.0892448512585813</v>
      </c>
      <c r="O52" s="12" t="n">
        <f aca="false">IFERROR('원자료(월별지수)'!R52/'원자료(월별지수)'!Q52-1,"")</f>
        <v>0.0515660809778458</v>
      </c>
      <c r="P52" s="12" t="n">
        <f aca="false">IFERROR('원자료(월별지수)'!S52/'원자료(월별지수)'!R52-1,"")</f>
        <v>-0.2411914275336</v>
      </c>
      <c r="Q52" s="12" t="n">
        <f aca="false">IFERROR('원자료(월별지수)'!T52/'원자료(월별지수)'!S52-1,"")</f>
        <v>-0.0712063188128291</v>
      </c>
      <c r="R52" s="12" t="n">
        <f aca="false">IFERROR('원자료(월별지수)'!U52/'원자료(월별지수)'!T52-1,"")</f>
        <v>0.214147661383842</v>
      </c>
      <c r="S52" s="12" t="n">
        <f aca="false">IFERROR('원자료(월별지수)'!V52/'원자료(월별지수)'!U52-1,"")</f>
        <v>-0.0180409635997029</v>
      </c>
      <c r="T52" s="12" t="n">
        <f aca="false">IFERROR('원자료(월별지수)'!W52/'원자료(월별지수)'!V52-1,"")</f>
        <v>-0.0619258618826327</v>
      </c>
      <c r="U52" s="12" t="n">
        <f aca="false">IFERROR('원자료(월별지수)'!X52/'원자료(월별지수)'!W52-1,"")</f>
        <v>-0.0721198156682027</v>
      </c>
      <c r="V52" s="12" t="n">
        <f aca="false">IFERROR('원자료(월별지수)'!Y52/'원자료(월별지수)'!X52-1,"")</f>
        <v>0.100571144772784</v>
      </c>
      <c r="W52" s="12" t="n">
        <f aca="false">IFERROR('원자료(월별지수)'!Z52/'원자료(월별지수)'!Y52-1,"")</f>
        <v>0.0178249097472925</v>
      </c>
      <c r="X52" s="12" t="n">
        <f aca="false">IFERROR('원자료(월별지수)'!AA52/'원자료(월별지수)'!Z52-1,"")</f>
        <v>0.0435601862114832</v>
      </c>
      <c r="Y52" s="12" t="n">
        <f aca="false">IFERROR('원자료(월별지수)'!AB52/'원자료(월별지수)'!AA52-1,"")</f>
        <v>0.195326606479023</v>
      </c>
      <c r="Z52" s="12" t="n">
        <f aca="false">IFERROR('원자료(월별지수)'!AC52/'원자료(월별지수)'!AB52-1,"")</f>
        <v>-0.114981339968012</v>
      </c>
      <c r="AA52" s="12" t="n">
        <f aca="false">IFERROR('원자료(월별지수)'!AD52/'원자료(월별지수)'!AC52-1,"")</f>
        <v>-0.180622489959839</v>
      </c>
      <c r="AB52" s="12" t="n">
        <f aca="false">IFERROR('원자료(월별지수)'!AE52/'원자료(월별지수)'!AD52-1,"")</f>
        <v>0.0410488910672711</v>
      </c>
      <c r="AC52" s="12" t="n">
        <f aca="false">IFERROR('원자료(월별지수)'!AF52/'원자료(월별지수)'!AE52-1,"")</f>
        <v>0.0309557438794728</v>
      </c>
      <c r="AD52" s="12" t="n">
        <f aca="false">IFERROR('원자료(월별지수)'!AG52/'원자료(월별지수)'!AF52-1,"")</f>
        <v>0.0563991323210411</v>
      </c>
      <c r="AE52" s="12" t="n">
        <f aca="false">IFERROR('원자료(월별지수)'!AH52/'원자료(월별지수)'!AG52-1,"")</f>
        <v>-0.0423646384956231</v>
      </c>
      <c r="AF52" s="12" t="n">
        <f aca="false">IFERROR('원자료(월별지수)'!AI52/'원자료(월별지수)'!AH52-1,"")</f>
        <v>0.0819320618440358</v>
      </c>
      <c r="AG52" s="12" t="n">
        <f aca="false">IFERROR('원자료(월별지수)'!AJ52/'원자료(월별지수)'!AI52-1,"")</f>
        <v>-0.0237822050693648</v>
      </c>
      <c r="AH52" s="12" t="n">
        <f aca="false">IFERROR('원자료(월별지수)'!AK52/'원자료(월별지수)'!AJ52-1,"")</f>
        <v>0.0516080777860883</v>
      </c>
      <c r="AI52" s="12" t="n">
        <f aca="false">IFERROR('원자료(월별지수)'!AL52/'원자료(월별지수)'!AK52-1,"")</f>
        <v>-0.0801666327982118</v>
      </c>
      <c r="AJ52" s="12" t="n">
        <f aca="false">IFERROR('원자료(월별지수)'!AM52/'원자료(월별지수)'!AL52-1,"")</f>
        <v>0.0996354799513972</v>
      </c>
      <c r="AK52" s="12" t="n">
        <f aca="false">IFERROR('원자료(월별지수)'!AN52/'원자료(월별지수)'!AM52-1,"")</f>
        <v>0.122551481667504</v>
      </c>
      <c r="AL52" s="12" t="n">
        <f aca="false">IFERROR('원자료(월별지수)'!AO52/'원자료(월별지수)'!AN52-1,"")</f>
        <v>-0.143176733780761</v>
      </c>
      <c r="AM52" s="12" t="n">
        <f aca="false">IFERROR('원자료(월별지수)'!AP52/'원자료(월별지수)'!AO52-1,"")</f>
        <v>0.225065274151436</v>
      </c>
      <c r="AN52" s="12" t="n">
        <f aca="false">IFERROR('원자료(월별지수)'!AQ52/'원자료(월별지수)'!AP52-1,"")</f>
        <v>0.00451832907075866</v>
      </c>
      <c r="AO52" s="12" t="n">
        <f aca="false">IFERROR('원자료(월별지수)'!AR52/'원자료(월별지수)'!AQ52-1,"")</f>
        <v>-0.245947551557328</v>
      </c>
      <c r="AP52" s="12" t="n">
        <f aca="false">IFERROR('원자료(월별지수)'!AS52/'원자료(월별지수)'!AR52-1,"")</f>
        <v>0.171637591446258</v>
      </c>
      <c r="AQ52" s="12" t="n">
        <f aca="false">IFERROR('원자료(월별지수)'!AT52/'원자료(월별지수)'!AS52-1,"")</f>
        <v>-0.087608069164265</v>
      </c>
      <c r="AR52" s="12" t="n">
        <f aca="false">IFERROR('원자료(월별지수)'!AU52/'원자료(월별지수)'!AT52-1,"")</f>
        <v>0.00810696988839754</v>
      </c>
      <c r="AS52" s="12" t="n">
        <f aca="false">IFERROR('원자료(월별지수)'!AV52/'원자료(월별지수)'!AU52-1,"")</f>
        <v>-0.0307049608355091</v>
      </c>
      <c r="AT52" s="12" t="n">
        <f aca="false">IFERROR('원자료(월별지수)'!AW52/'원자료(월별지수)'!AV52-1,"")</f>
        <v>-0.0754229070143303</v>
      </c>
      <c r="AU52" s="12" t="n">
        <f aca="false">IFERROR('원자료(월별지수)'!AX52/'원자료(월별지수)'!AW52-1,"")</f>
        <v>0.177718214660296</v>
      </c>
      <c r="AV52" s="12" t="n">
        <f aca="false">IFERROR('원자료(월별지수)'!AY52/'원자료(월별지수)'!AX52-1,"")</f>
        <v>0.0473975855927171</v>
      </c>
      <c r="AW52" s="12" t="n">
        <f aca="false">IFERROR('원자료(월별지수)'!AZ52/'원자료(월별지수)'!AY52-1,"")</f>
        <v>0.0915446386395844</v>
      </c>
      <c r="AX52" s="12" t="n">
        <f aca="false">IFERROR('원자료(월별지수)'!BA52/'원자료(월별지수)'!AZ52-1,"")</f>
        <v>-0.0233685303790895</v>
      </c>
      <c r="AY52" s="12" t="n">
        <f aca="false">IFERROR('원자료(월별지수)'!BB52/'원자료(월별지수)'!BA52-1,"")</f>
        <v>-0.0861396667848281</v>
      </c>
      <c r="AZ52" s="12" t="n">
        <f aca="false">IFERROR('원자료(월별지수)'!BC52/'원자료(월별지수)'!BB52-1,"")</f>
        <v>0.045190069821567</v>
      </c>
      <c r="BA52" s="12" t="n">
        <f aca="false">IFERROR('원자료(월별지수)'!BD52/'원자료(월별지수)'!BC52-1,"")</f>
        <v>-0.0578029318983114</v>
      </c>
      <c r="BB52" s="12" t="n">
        <f aca="false">IFERROR('원자료(월별지수)'!BE52/'원자료(월별지수)'!BD52-1,"")</f>
        <v>0.172919743968488</v>
      </c>
      <c r="BC52" s="12" t="n">
        <f aca="false">IFERROR('원자료(월별지수)'!BF52/'원자료(월별지수)'!BE52-1,"")</f>
        <v>0.0185542775585592</v>
      </c>
      <c r="BD52" s="12" t="n">
        <f aca="false">IFERROR('원자료(월별지수)'!BG52/'원자료(월별지수)'!BF52-1,"")</f>
        <v>-0.219419716452357</v>
      </c>
      <c r="BE52" s="12" t="n">
        <f aca="false">IFERROR('원자료(월별지수)'!BH52/'원자료(월별지수)'!BG52-1,"")</f>
        <v>-0.052481520591341</v>
      </c>
      <c r="BF52" s="12" t="n">
        <f aca="false">IFERROR('원자료(월별지수)'!BI52/'원자료(월별지수)'!BH52-1,"")</f>
        <v>0.0342137523682158</v>
      </c>
      <c r="BG52" s="12" t="n">
        <f aca="false">IFERROR('원자료(월별지수)'!BJ52/'원자료(월별지수)'!BI52-1,"")</f>
        <v>0.212284482758621</v>
      </c>
      <c r="BH52" s="12" t="n">
        <f aca="false">IFERROR('원자료(월별지수)'!BK52/'원자료(월별지수)'!BJ52-1,"")</f>
        <v>-0.0488888888888889</v>
      </c>
      <c r="BI52" s="12" t="n">
        <f aca="false">IFERROR('원자료(월별지수)'!BL52/'원자료(월별지수)'!BK52-1,"")</f>
        <v>0.121495327102804</v>
      </c>
      <c r="BJ52" s="12" t="n">
        <f aca="false">IFERROR('원자료(월별지수)'!BM52/'원자료(월별지수)'!BL52-1,"")</f>
        <v>0.126666666666666</v>
      </c>
      <c r="BK52" s="12" t="n">
        <f aca="false">IFERROR('원자료(월별지수)'!BN52/'원자료(월별지수)'!BM52-1,"")</f>
        <v>0.136094674556213</v>
      </c>
      <c r="BL52" s="12" t="n">
        <f aca="false">IFERROR('원자료(월별지수)'!BO52/'원자료(월별지수)'!BN52-1,"")</f>
        <v>-0.208854166666667</v>
      </c>
      <c r="BM52" s="12" t="n">
        <f aca="false">IFERROR('원자료(월별지수)'!BP52/'원자료(월별지수)'!BO52-1,"")</f>
        <v>0.0396642527978934</v>
      </c>
      <c r="BN52" s="12" t="n">
        <f aca="false">IFERROR('원자료(월별지수)'!BQ52/'원자료(월별지수)'!BP52-1,"")</f>
        <v>0.0188380560392591</v>
      </c>
    </row>
    <row r="53" customFormat="false" ht="15" hidden="false" customHeight="false" outlineLevel="0" collapsed="false">
      <c r="A53" s="8" t="s">
        <v>146</v>
      </c>
      <c r="B53" s="9" t="s">
        <v>147</v>
      </c>
      <c r="C53" s="12" t="n">
        <f aca="false">IFERROR('원자료(월별지수)'!F53/'원자료(월별지수)'!E53-1,"")</f>
        <v>-0.0788097075722494</v>
      </c>
      <c r="D53" s="12" t="n">
        <f aca="false">IFERROR('원자료(월별지수)'!G53/'원자료(월별지수)'!F53-1,"")</f>
        <v>-0.0474771923291752</v>
      </c>
      <c r="E53" s="12" t="n">
        <f aca="false">IFERROR('원자료(월별지수)'!H53/'원자료(월별지수)'!G53-1,"")</f>
        <v>-0.019741985926505</v>
      </c>
      <c r="F53" s="12" t="n">
        <f aca="false">IFERROR('원자료(월별지수)'!I53/'원자료(월별지수)'!H53-1,"")</f>
        <v>0</v>
      </c>
      <c r="G53" s="12" t="n">
        <f aca="false">IFERROR('원자료(월별지수)'!J53/'원자료(월별지수)'!I53-1,"")</f>
        <v>0</v>
      </c>
      <c r="H53" s="12" t="n">
        <f aca="false">IFERROR('원자료(월별지수)'!K53/'원자료(월별지수)'!J53-1,"")</f>
        <v>0</v>
      </c>
      <c r="I53" s="12" t="n">
        <f aca="false">IFERROR('원자료(월별지수)'!L53/'원자료(월별지수)'!K53-1,"")</f>
        <v>0</v>
      </c>
      <c r="J53" s="12" t="n">
        <f aca="false">IFERROR('원자료(월별지수)'!M53/'원자료(월별지수)'!L53-1,"")</f>
        <v>0</v>
      </c>
      <c r="K53" s="12" t="n">
        <f aca="false">IFERROR('원자료(월별지수)'!N53/'원자료(월별지수)'!M53-1,"")</f>
        <v>0.261116650049851</v>
      </c>
      <c r="L53" s="12" t="n">
        <f aca="false">IFERROR('원자료(월별지수)'!O53/'원자료(월별지수)'!N53-1,"")</f>
        <v>0.269349355680291</v>
      </c>
      <c r="M53" s="12" t="n">
        <f aca="false">IFERROR('원자료(월별지수)'!P53/'원자료(월별지수)'!O53-1,"")</f>
        <v>-0.0165670154459392</v>
      </c>
      <c r="N53" s="12" t="n">
        <f aca="false">IFERROR('원자료(월별지수)'!Q53/'원자료(월별지수)'!P53-1,"")</f>
        <v>0</v>
      </c>
      <c r="O53" s="12" t="n">
        <f aca="false">IFERROR('원자료(월별지수)'!R53/'원자료(월별지수)'!Q53-1,"")</f>
        <v>-0.258201393286891</v>
      </c>
      <c r="P53" s="12" t="n">
        <f aca="false">IFERROR('원자료(월별지수)'!S53/'원자료(월별지수)'!R53-1,"")</f>
        <v>-0.0886194826261418</v>
      </c>
      <c r="Q53" s="12" t="n">
        <f aca="false">IFERROR('원자료(월별지수)'!T53/'원자료(월별지수)'!S53-1,"")</f>
        <v>-0.0655737704918032</v>
      </c>
      <c r="R53" s="12" t="n">
        <f aca="false">IFERROR('원자료(월별지수)'!U53/'원자료(월별지수)'!T53-1,"")</f>
        <v>0</v>
      </c>
      <c r="S53" s="12" t="n">
        <f aca="false">IFERROR('원자료(월별지수)'!V53/'원자료(월별지수)'!U53-1,"")</f>
        <v>0</v>
      </c>
      <c r="T53" s="12" t="n">
        <f aca="false">IFERROR('원자료(월별지수)'!W53/'원자료(월별지수)'!V53-1,"")</f>
        <v>0</v>
      </c>
      <c r="U53" s="12" t="n">
        <f aca="false">IFERROR('원자료(월별지수)'!X53/'원자료(월별지수)'!W53-1,"")</f>
        <v>0</v>
      </c>
      <c r="V53" s="12" t="n">
        <f aca="false">IFERROR('원자료(월별지수)'!Y53/'원자료(월별지수)'!X53-1,"")</f>
        <v>0</v>
      </c>
      <c r="W53" s="12" t="n">
        <f aca="false">IFERROR('원자료(월별지수)'!Z53/'원자료(월별지수)'!Y53-1,"")</f>
        <v>0.399799498746867</v>
      </c>
      <c r="X53" s="12" t="n">
        <f aca="false">IFERROR('원자료(월별지수)'!AA53/'원자료(월별지수)'!Z53-1,"")</f>
        <v>0.0805700780634535</v>
      </c>
      <c r="Y53" s="12" t="n">
        <f aca="false">IFERROR('원자료(월별지수)'!AB53/'원자료(월별지수)'!AA53-1,"")</f>
        <v>0.0608430540827147</v>
      </c>
      <c r="Z53" s="12" t="n">
        <f aca="false">IFERROR('원자료(월별지수)'!AC53/'원자료(월별지수)'!AB53-1,"")</f>
        <v>-0.13951018368112</v>
      </c>
      <c r="AA53" s="12" t="n">
        <f aca="false">IFERROR('원자료(월별지수)'!AD53/'원자료(월별지수)'!AC53-1,"")</f>
        <v>-0.0568503593988237</v>
      </c>
      <c r="AB53" s="12" t="n">
        <f aca="false">IFERROR('원자료(월별지수)'!AE53/'원자료(월별지수)'!AD53-1,"")</f>
        <v>-0.0733641262509623</v>
      </c>
      <c r="AC53" s="12" t="n">
        <f aca="false">IFERROR('원자료(월별지수)'!AF53/'원자료(월별지수)'!AE53-1,"")</f>
        <v>-0.0603971089141814</v>
      </c>
      <c r="AD53" s="12" t="n">
        <f aca="false">IFERROR('원자료(월별지수)'!AG53/'원자료(월별지수)'!AF53-1,"")</f>
        <v>0</v>
      </c>
      <c r="AE53" s="12" t="n">
        <f aca="false">IFERROR('원자료(월별지수)'!AH53/'원자료(월별지수)'!AG53-1,"")</f>
        <v>0</v>
      </c>
      <c r="AF53" s="12" t="n">
        <f aca="false">IFERROR('원자료(월별지수)'!AI53/'원자료(월별지수)'!AH53-1,"")</f>
        <v>0</v>
      </c>
      <c r="AG53" s="12" t="n">
        <f aca="false">IFERROR('원자료(월별지수)'!AJ53/'원자료(월별지수)'!AI53-1,"")</f>
        <v>0</v>
      </c>
      <c r="AH53" s="12" t="n">
        <f aca="false">IFERROR('원자료(월별지수)'!AK53/'원자료(월별지수)'!AJ53-1,"")</f>
        <v>0</v>
      </c>
      <c r="AI53" s="12" t="n">
        <f aca="false">IFERROR('원자료(월별지수)'!AL53/'원자료(월별지수)'!AK53-1,"")</f>
        <v>0.0660477453580901</v>
      </c>
      <c r="AJ53" s="12" t="n">
        <f aca="false">IFERROR('원자료(월별지수)'!AM53/'원자료(월별지수)'!AL53-1,"")</f>
        <v>0.339056149954383</v>
      </c>
      <c r="AK53" s="12" t="n">
        <f aca="false">IFERROR('원자료(월별지수)'!AN53/'원자료(월별지수)'!AM53-1,"")</f>
        <v>0.00216785382471363</v>
      </c>
      <c r="AL53" s="12" t="n">
        <f aca="false">IFERROR('원자료(월별지수)'!AO53/'원자료(월별지수)'!AN53-1,"")</f>
        <v>-0.201606922126082</v>
      </c>
      <c r="AM53" s="12" t="n">
        <f aca="false">IFERROR('원자료(월별지수)'!AP53/'원자료(월별지수)'!AO53-1,"")</f>
        <v>-0.0588326366310575</v>
      </c>
      <c r="AN53" s="12" t="n">
        <f aca="false">IFERROR('원자료(월별지수)'!AQ53/'원자료(월별지수)'!AP53-1,"")</f>
        <v>-0.0518177331797993</v>
      </c>
      <c r="AO53" s="12" t="n">
        <f aca="false">IFERROR('원자료(월별지수)'!AR53/'원자료(월별지수)'!AQ53-1,"")</f>
        <v>0.0147467036780014</v>
      </c>
      <c r="AP53" s="12" t="n">
        <f aca="false">IFERROR('원자료(월별지수)'!AS53/'원자료(월별지수)'!AR53-1,"")</f>
        <v>0</v>
      </c>
      <c r="AQ53" s="12" t="n">
        <f aca="false">IFERROR('원자료(월별지수)'!AT53/'원자료(월별지수)'!AS53-1,"")</f>
        <v>0</v>
      </c>
      <c r="AR53" s="12" t="n">
        <f aca="false">IFERROR('원자료(월별지수)'!AU53/'원자료(월별지수)'!AT53-1,"")</f>
        <v>0</v>
      </c>
      <c r="AS53" s="12" t="n">
        <f aca="false">IFERROR('원자료(월별지수)'!AV53/'원자료(월별지수)'!AU53-1,"")</f>
        <v>0</v>
      </c>
      <c r="AT53" s="12" t="n">
        <f aca="false">IFERROR('원자료(월별지수)'!AW53/'원자료(월별지수)'!AV53-1,"")</f>
        <v>0</v>
      </c>
      <c r="AU53" s="12" t="n">
        <f aca="false">IFERROR('원자료(월별지수)'!AX53/'원자료(월별지수)'!AW53-1,"")</f>
        <v>0.0559069926483158</v>
      </c>
      <c r="AV53" s="12" t="n">
        <f aca="false">IFERROR('원자료(월별지수)'!AY53/'원자료(월별지수)'!AX53-1,"")</f>
        <v>0.237046632124353</v>
      </c>
      <c r="AW53" s="12" t="n">
        <f aca="false">IFERROR('원자료(월별지수)'!AZ53/'원자료(월별지수)'!AY53-1,"")</f>
        <v>0.0208115183246071</v>
      </c>
      <c r="AX53" s="12" t="n">
        <f aca="false">IFERROR('원자료(월별지수)'!BA53/'원자료(월별지수)'!AZ53-1,"")</f>
        <v>-0.20778304910886</v>
      </c>
      <c r="AY53" s="12" t="n">
        <f aca="false">IFERROR('원자료(월별지수)'!BB53/'원자료(월별지수)'!BA53-1,"")</f>
        <v>-0.0366593833454721</v>
      </c>
      <c r="AZ53" s="12" t="n">
        <f aca="false">IFERROR('원자료(월별지수)'!BC53/'원자료(월별지수)'!BB53-1,"")</f>
        <v>-0.079133064516129</v>
      </c>
      <c r="BA53" s="12" t="n">
        <f aca="false">IFERROR('원자료(월별지수)'!BD53/'원자료(월별지수)'!BC53-1,"")</f>
        <v>-0.0640394088669952</v>
      </c>
      <c r="BB53" s="12" t="n">
        <f aca="false">IFERROR('원자료(월별지수)'!BE53/'원자료(월별지수)'!BD53-1,"")</f>
        <v>0</v>
      </c>
      <c r="BC53" s="12" t="n">
        <f aca="false">IFERROR('원자료(월별지수)'!BF53/'원자료(월별지수)'!BE53-1,"")</f>
        <v>0</v>
      </c>
      <c r="BD53" s="12" t="n">
        <f aca="false">IFERROR('원자료(월별지수)'!BG53/'원자료(월별지수)'!BF53-1,"")</f>
        <v>0</v>
      </c>
      <c r="BE53" s="12" t="n">
        <f aca="false">IFERROR('원자료(월별지수)'!BH53/'원자료(월별지수)'!BG53-1,"")</f>
        <v>0</v>
      </c>
      <c r="BF53" s="12" t="n">
        <f aca="false">IFERROR('원자료(월별지수)'!BI53/'원자료(월별지수)'!BH53-1,"")</f>
        <v>0</v>
      </c>
      <c r="BG53" s="12" t="n">
        <f aca="false">IFERROR('원자료(월별지수)'!BJ53/'원자료(월별지수)'!BI53-1,"")</f>
        <v>0.118615984405458</v>
      </c>
      <c r="BH53" s="12" t="n">
        <f aca="false">IFERROR('원자료(월별지수)'!BK53/'원자료(월별지수)'!BJ53-1,"")</f>
        <v>0.119456303912172</v>
      </c>
      <c r="BI53" s="12" t="n">
        <f aca="false">IFERROR('원자료(월별지수)'!BL53/'원자료(월별지수)'!BK53-1,"")</f>
        <v>0.0381382316313823</v>
      </c>
      <c r="BJ53" s="12" t="n">
        <f aca="false">IFERROR('원자료(월별지수)'!BM53/'원자료(월별지수)'!BL53-1,"")</f>
        <v>-0.11388514020093</v>
      </c>
      <c r="BK53" s="12" t="n">
        <f aca="false">IFERROR('원자료(월별지수)'!BN53/'원자료(월별지수)'!BM53-1,"")</f>
        <v>-0.0527117353413995</v>
      </c>
      <c r="BL53" s="12" t="n">
        <f aca="false">IFERROR('원자료(월별지수)'!BO53/'원자료(월별지수)'!BN53-1,"")</f>
        <v>-0.0196498749553411</v>
      </c>
      <c r="BM53" s="12" t="n">
        <f aca="false">IFERROR('원자료(월별지수)'!BP53/'원자료(월별지수)'!BO53-1,"")</f>
        <v>0.00838192419825079</v>
      </c>
      <c r="BN53" s="12" t="n">
        <f aca="false">IFERROR('원자료(월별지수)'!BQ53/'원자료(월별지수)'!BP53-1,"")</f>
        <v>0</v>
      </c>
    </row>
    <row r="54" customFormat="false" ht="15" hidden="false" customHeight="false" outlineLevel="0" collapsed="false">
      <c r="A54" s="8" t="s">
        <v>146</v>
      </c>
      <c r="B54" s="9" t="s">
        <v>148</v>
      </c>
      <c r="C54" s="12" t="n">
        <f aca="false">IFERROR('원자료(월별지수)'!F54/'원자료(월별지수)'!E54-1,"")</f>
        <v>0.0535046728971964</v>
      </c>
      <c r="D54" s="12" t="n">
        <f aca="false">IFERROR('원자료(월별지수)'!G54/'원자료(월별지수)'!F54-1,"")</f>
        <v>0.014304723885562</v>
      </c>
      <c r="E54" s="12" t="n">
        <f aca="false">IFERROR('원자료(월별지수)'!H54/'원자료(월별지수)'!G54-1,"")</f>
        <v>0.0329069640319231</v>
      </c>
      <c r="F54" s="12" t="n">
        <f aca="false">IFERROR('원자료(월별지수)'!I54/'원자료(월별지수)'!H54-1,"")</f>
        <v>-0.0801227773073667</v>
      </c>
      <c r="G54" s="12" t="n">
        <f aca="false">IFERROR('원자료(월별지수)'!J54/'원자료(월별지수)'!I54-1,"")</f>
        <v>-0.0920492463467956</v>
      </c>
      <c r="H54" s="12" t="n">
        <f aca="false">IFERROR('원자료(월별지수)'!K54/'원자료(월별지수)'!J54-1,"")</f>
        <v>-0.0100114053985552</v>
      </c>
      <c r="I54" s="12" t="n">
        <f aca="false">IFERROR('원자료(월별지수)'!L54/'원자료(월별지수)'!K54-1,"")</f>
        <v>0.455453149001536</v>
      </c>
      <c r="J54" s="12" t="n">
        <f aca="false">IFERROR('원자료(월별지수)'!M54/'원자료(월별지수)'!L54-1,"")</f>
        <v>0.157871591908531</v>
      </c>
      <c r="K54" s="12" t="n">
        <f aca="false">IFERROR('원자료(월별지수)'!N54/'원자료(월별지수)'!M54-1,"")</f>
        <v>0.00402582605393098</v>
      </c>
      <c r="L54" s="12" t="n">
        <f aca="false">IFERROR('원자료(월별지수)'!O54/'원자료(월별지수)'!N54-1,"")</f>
        <v>0.00801936752912691</v>
      </c>
      <c r="M54" s="12" t="n">
        <f aca="false">IFERROR('원자료(월별지수)'!P54/'원자료(월별지수)'!O54-1,"")</f>
        <v>-0.108676073251276</v>
      </c>
      <c r="N54" s="12" t="n">
        <f aca="false">IFERROR('원자료(월별지수)'!Q54/'원자료(월별지수)'!P54-1,"")</f>
        <v>0.0998652745031998</v>
      </c>
      <c r="O54" s="12" t="n">
        <f aca="false">IFERROR('원자료(월별지수)'!R54/'원자료(월별지수)'!Q54-1,"")</f>
        <v>-0.0787015770938601</v>
      </c>
      <c r="P54" s="12" t="n">
        <f aca="false">IFERROR('원자료(월별지수)'!S54/'원자료(월별지수)'!R54-1,"")</f>
        <v>-0.0486122652484627</v>
      </c>
      <c r="Q54" s="12" t="n">
        <f aca="false">IFERROR('원자료(월별지수)'!T54/'원자료(월별지수)'!S54-1,"")</f>
        <v>0.241855183858853</v>
      </c>
      <c r="R54" s="12" t="n">
        <f aca="false">IFERROR('원자료(월별지수)'!U54/'원자료(월별지수)'!T54-1,"")</f>
        <v>-0.263187508791673</v>
      </c>
      <c r="S54" s="12" t="n">
        <f aca="false">IFERROR('원자료(월별지수)'!V54/'원자료(월별지수)'!U54-1,"")</f>
        <v>-0.0523100420007637</v>
      </c>
      <c r="T54" s="12" t="n">
        <f aca="false">IFERROR('원자료(월별지수)'!W54/'원자료(월별지수)'!V54-1,"")</f>
        <v>-0.0024174053182916</v>
      </c>
      <c r="U54" s="12" t="n">
        <f aca="false">IFERROR('원자료(월별지수)'!X54/'원자료(월별지수)'!W54-1,"")</f>
        <v>0.221425686591276</v>
      </c>
      <c r="V54" s="12" t="n">
        <f aca="false">IFERROR('원자료(월별지수)'!Y54/'원자료(월별지수)'!X54-1,"")</f>
        <v>0.197156319748698</v>
      </c>
      <c r="W54" s="12" t="n">
        <f aca="false">IFERROR('원자료(월별지수)'!Z54/'원자료(월별지수)'!Y54-1,"")</f>
        <v>0.0389448971136583</v>
      </c>
      <c r="X54" s="12" t="n">
        <f aca="false">IFERROR('원자료(월별지수)'!AA54/'원자료(월별지수)'!Z54-1,"")</f>
        <v>-0.267911737338828</v>
      </c>
      <c r="Y54" s="12" t="n">
        <f aca="false">IFERROR('원자료(월별지수)'!AB54/'원자료(월별지수)'!AA54-1,"")</f>
        <v>0.0636404902405809</v>
      </c>
      <c r="Z54" s="12" t="n">
        <f aca="false">IFERROR('원자료(월별지수)'!AC54/'원자료(월별지수)'!AB54-1,"")</f>
        <v>0.0485660635029019</v>
      </c>
      <c r="AA54" s="12" t="n">
        <f aca="false">IFERROR('원자료(월별지수)'!AD54/'원자료(월별지수)'!AC54-1,"")</f>
        <v>-0.204802604802605</v>
      </c>
      <c r="AB54" s="12" t="n">
        <f aca="false">IFERROR('원자료(월별지수)'!AE54/'원자료(월별지수)'!AD54-1,"")</f>
        <v>0.0483161019551643</v>
      </c>
      <c r="AC54" s="12" t="n">
        <f aca="false">IFERROR('원자료(월별지수)'!AF54/'원자료(월별지수)'!AE54-1,"")</f>
        <v>-0.0219705106923153</v>
      </c>
      <c r="AD54" s="12" t="n">
        <f aca="false">IFERROR('원자료(월별지수)'!AG54/'원자료(월별지수)'!AF54-1,"")</f>
        <v>-0.0637979233226838</v>
      </c>
      <c r="AE54" s="12" t="n">
        <f aca="false">IFERROR('원자료(월별지수)'!AH54/'원자료(월별지수)'!AG54-1,"")</f>
        <v>-0.0897941772421883</v>
      </c>
      <c r="AF54" s="12" t="n">
        <f aca="false">IFERROR('원자료(월별지수)'!AI54/'원자료(월별지수)'!AH54-1,"")</f>
        <v>0.0905682483889865</v>
      </c>
      <c r="AG54" s="12" t="n">
        <f aca="false">IFERROR('원자료(월별지수)'!AJ54/'원자료(월별지수)'!AI54-1,"")</f>
        <v>0.276751181779115</v>
      </c>
      <c r="AH54" s="12" t="n">
        <f aca="false">IFERROR('원자료(월별지수)'!AK54/'원자료(월별지수)'!AJ54-1,"")</f>
        <v>-0.0298720969370582</v>
      </c>
      <c r="AI54" s="12" t="n">
        <f aca="false">IFERROR('원자료(월별지수)'!AL54/'원자료(월별지수)'!AK54-1,"")</f>
        <v>0.273484257090814</v>
      </c>
      <c r="AJ54" s="12" t="n">
        <f aca="false">IFERROR('원자료(월별지수)'!AM54/'원자료(월별지수)'!AL54-1,"")</f>
        <v>-0.349475548290424</v>
      </c>
      <c r="AK54" s="12" t="n">
        <f aca="false">IFERROR('원자료(월별지수)'!AN54/'원자료(월별지수)'!AM54-1,"")</f>
        <v>0.231703486545911</v>
      </c>
      <c r="AL54" s="12" t="n">
        <f aca="false">IFERROR('원자료(월별지수)'!AO54/'원자료(월별지수)'!AN54-1,"")</f>
        <v>0.182420945256715</v>
      </c>
      <c r="AM54" s="12" t="n">
        <f aca="false">IFERROR('원자료(월별지수)'!AP54/'원자료(월별지수)'!AO54-1,"")</f>
        <v>0.248885693745507</v>
      </c>
      <c r="AN54" s="12" t="n">
        <f aca="false">IFERROR('원자료(월별지수)'!AQ54/'원자료(월별지수)'!AP54-1,"")</f>
        <v>-0.262203545935989</v>
      </c>
      <c r="AO54" s="12" t="n">
        <f aca="false">IFERROR('원자료(월별지수)'!AR54/'원자료(월별지수)'!AQ54-1,"")</f>
        <v>-0.167355855504408</v>
      </c>
      <c r="AP54" s="12" t="n">
        <f aca="false">IFERROR('원자료(월별지수)'!AS54/'원자료(월별지수)'!AR54-1,"")</f>
        <v>-0.0262368815592203</v>
      </c>
      <c r="AQ54" s="12" t="n">
        <f aca="false">IFERROR('원자료(월별지수)'!AT54/'원자료(월별지수)'!AS54-1,"")</f>
        <v>-0.00808314087759821</v>
      </c>
      <c r="AR54" s="12" t="n">
        <f aca="false">IFERROR('원자료(월별지수)'!AU54/'원자료(월별지수)'!AT54-1,"")</f>
        <v>-0.0697516492045014</v>
      </c>
      <c r="AS54" s="12" t="n">
        <f aca="false">IFERROR('원자료(월별지수)'!AV54/'원자료(월별지수)'!AU54-1,"")</f>
        <v>-0.0834289289811242</v>
      </c>
      <c r="AT54" s="12" t="n">
        <f aca="false">IFERROR('원자료(월별지수)'!AW54/'원자료(월별지수)'!AV54-1,"")</f>
        <v>0.141085447718739</v>
      </c>
      <c r="AU54" s="12" t="n">
        <f aca="false">IFERROR('원자료(월별지수)'!AX54/'원자료(월별지수)'!AW54-1,"")</f>
        <v>-0.05234819024828</v>
      </c>
      <c r="AV54" s="12" t="n">
        <f aca="false">IFERROR('원자료(월별지수)'!AY54/'원자료(월별지수)'!AX54-1,"")</f>
        <v>0.408775252525252</v>
      </c>
      <c r="AW54" s="12" t="n">
        <f aca="false">IFERROR('원자료(월별지수)'!AZ54/'원자료(월별지수)'!AY54-1,"")</f>
        <v>-0.228471133019643</v>
      </c>
      <c r="AX54" s="12" t="n">
        <f aca="false">IFERROR('원자료(월별지수)'!BA54/'원자료(월별지수)'!AZ54-1,"")</f>
        <v>0.319167473378509</v>
      </c>
      <c r="AY54" s="12" t="n">
        <f aca="false">IFERROR('원자료(월별지수)'!BB54/'원자료(월별지수)'!BA54-1,"")</f>
        <v>0.0280325823732295</v>
      </c>
      <c r="AZ54" s="12" t="n">
        <f aca="false">IFERROR('원자료(월별지수)'!BC54/'원자료(월별지수)'!BB54-1,"")</f>
        <v>-0.230066385894782</v>
      </c>
      <c r="BA54" s="12" t="n">
        <f aca="false">IFERROR('원자료(월별지수)'!BD54/'원자료(월별지수)'!BC54-1,"")</f>
        <v>-0.0488596328574077</v>
      </c>
      <c r="BB54" s="12" t="n">
        <f aca="false">IFERROR('원자료(월별지수)'!BE54/'원자료(월별지수)'!BD54-1,"")</f>
        <v>-0.0519543815186665</v>
      </c>
      <c r="BC54" s="12" t="n">
        <f aca="false">IFERROR('원자료(월별지수)'!BF54/'원자료(월별지수)'!BE54-1,"")</f>
        <v>-0.122352457330866</v>
      </c>
      <c r="BD54" s="12" t="n">
        <f aca="false">IFERROR('원자료(월별지수)'!BG54/'원자료(월별지수)'!BF54-1,"")</f>
        <v>0.0599812558575445</v>
      </c>
      <c r="BE54" s="12" t="n">
        <f aca="false">IFERROR('원자료(월별지수)'!BH54/'원자료(월별지수)'!BG54-1,"")</f>
        <v>0.201702033598585</v>
      </c>
      <c r="BF54" s="12" t="n">
        <f aca="false">IFERROR('원자료(월별지수)'!BI54/'원자료(월별지수)'!BH54-1,"")</f>
        <v>-0.182838223121494</v>
      </c>
      <c r="BG54" s="12" t="n">
        <f aca="false">IFERROR('원자료(월별지수)'!BJ54/'원자료(월별지수)'!BI54-1,"")</f>
        <v>0.411592571750141</v>
      </c>
      <c r="BH54" s="12" t="n">
        <f aca="false">IFERROR('원자료(월별지수)'!BK54/'원자료(월별지수)'!BJ54-1,"")</f>
        <v>-0.273082442991548</v>
      </c>
      <c r="BI54" s="12" t="n">
        <f aca="false">IFERROR('원자료(월별지수)'!BL54/'원자료(월별지수)'!BK54-1,"")</f>
        <v>0.0658111220796314</v>
      </c>
      <c r="BJ54" s="12" t="n">
        <f aca="false">IFERROR('원자료(월별지수)'!BM54/'원자료(월별지수)'!BL54-1,"")</f>
        <v>-0.0242873314809098</v>
      </c>
      <c r="BK54" s="12" t="n">
        <f aca="false">IFERROR('원자료(월별지수)'!BN54/'원자료(월별지수)'!BM54-1,"")</f>
        <v>0.107689062335197</v>
      </c>
      <c r="BL54" s="12" t="n">
        <f aca="false">IFERROR('원자료(월별지수)'!BO54/'원자료(월별지수)'!BN54-1,"")</f>
        <v>-0.198247952770901</v>
      </c>
      <c r="BM54" s="12" t="n">
        <f aca="false">IFERROR('원자료(월별지수)'!BP54/'원자료(월별지수)'!BO54-1,"")</f>
        <v>0.0173396674584323</v>
      </c>
      <c r="BN54" s="12" t="n">
        <f aca="false">IFERROR('원자료(월별지수)'!BQ54/'원자료(월별지수)'!BP54-1,"")</f>
        <v>-0.144524865748307</v>
      </c>
    </row>
    <row r="55" customFormat="false" ht="15" hidden="false" customHeight="false" outlineLevel="0" collapsed="false">
      <c r="A55" s="8" t="s">
        <v>146</v>
      </c>
      <c r="B55" s="9" t="s">
        <v>149</v>
      </c>
      <c r="C55" s="12" t="n">
        <f aca="false">IFERROR('원자료(월별지수)'!F55/'원자료(월별지수)'!E55-1,"")</f>
        <v>-0.00482283464566924</v>
      </c>
      <c r="D55" s="12" t="n">
        <f aca="false">IFERROR('원자료(월별지수)'!G55/'원자료(월별지수)'!F55-1,"")</f>
        <v>-0.0063297398872515</v>
      </c>
      <c r="E55" s="12" t="n">
        <f aca="false">IFERROR('원자료(월별지수)'!H55/'원자료(월별지수)'!G55-1,"")</f>
        <v>-0.025579775057231</v>
      </c>
      <c r="F55" s="12" t="n">
        <f aca="false">IFERROR('원자료(월별지수)'!I55/'원자료(월별지수)'!H55-1,"")</f>
        <v>-0.0141981613891726</v>
      </c>
      <c r="G55" s="12" t="n">
        <f aca="false">IFERROR('원자료(월별지수)'!J55/'원자료(월별지수)'!I55-1,"")</f>
        <v>0.0121230960522225</v>
      </c>
      <c r="H55" s="12" t="n">
        <f aca="false">IFERROR('원자료(월별지수)'!K55/'원자료(월별지수)'!J55-1,"")</f>
        <v>-0.0219082719082719</v>
      </c>
      <c r="I55" s="12" t="n">
        <f aca="false">IFERROR('원자료(월별지수)'!L55/'원자료(월별지수)'!K55-1,"")</f>
        <v>-0.00303537785220853</v>
      </c>
      <c r="J55" s="12" t="n">
        <f aca="false">IFERROR('원자료(월별지수)'!M55/'원자료(월별지수)'!L55-1,"")</f>
        <v>0.0187926509186351</v>
      </c>
      <c r="K55" s="12" t="n">
        <f aca="false">IFERROR('원자료(월별지수)'!N55/'원자료(월별지수)'!M55-1,"")</f>
        <v>0.00989282769991751</v>
      </c>
      <c r="L55" s="12" t="n">
        <f aca="false">IFERROR('원자료(월별지수)'!O55/'원자료(월별지수)'!N55-1,"")</f>
        <v>0.00948979591836752</v>
      </c>
      <c r="M55" s="12" t="n">
        <f aca="false">IFERROR('원자료(월별지수)'!P55/'원자료(월별지수)'!O55-1,"")</f>
        <v>0.00657030223390276</v>
      </c>
      <c r="N55" s="12" t="n">
        <f aca="false">IFERROR('원자료(월별지수)'!Q55/'원자료(월별지수)'!P55-1,"")</f>
        <v>-0.00311307491464152</v>
      </c>
      <c r="O55" s="12" t="n">
        <f aca="false">IFERROR('원자료(월별지수)'!R55/'원자료(월별지수)'!Q55-1,"")</f>
        <v>0.0127933917598471</v>
      </c>
      <c r="P55" s="12" t="n">
        <f aca="false">IFERROR('원자료(월별지수)'!S55/'원자료(월별지수)'!R55-1,"")</f>
        <v>0.0154167495524169</v>
      </c>
      <c r="Q55" s="12" t="n">
        <f aca="false">IFERROR('원자료(월별지수)'!T55/'원자료(월별지수)'!S55-1,"")</f>
        <v>-0.00244881966891963</v>
      </c>
      <c r="R55" s="12" t="n">
        <f aca="false">IFERROR('원자료(월별지수)'!U55/'원자료(월별지수)'!T55-1,"")</f>
        <v>-0.00815003927729774</v>
      </c>
      <c r="S55" s="12" t="n">
        <f aca="false">IFERROR('원자료(월별지수)'!V55/'원자료(월별지수)'!U55-1,"")</f>
        <v>-0.00257400257400264</v>
      </c>
      <c r="T55" s="12" t="n">
        <f aca="false">IFERROR('원자료(월별지수)'!W55/'원자료(월별지수)'!V55-1,"")</f>
        <v>0.0112158808933003</v>
      </c>
      <c r="U55" s="12" t="n">
        <f aca="false">IFERROR('원자료(월별지수)'!X55/'원자료(월별지수)'!W55-1,"")</f>
        <v>-0.0456419316843344</v>
      </c>
      <c r="V55" s="12" t="n">
        <f aca="false">IFERROR('원자료(월별지수)'!Y55/'원자료(월별지수)'!X55-1,"")</f>
        <v>0.00113133806438337</v>
      </c>
      <c r="W55" s="12" t="n">
        <f aca="false">IFERROR('원자료(월별지수)'!Z55/'원자료(월별지수)'!Y55-1,"")</f>
        <v>0.0159235668789808</v>
      </c>
      <c r="X55" s="12" t="n">
        <f aca="false">IFERROR('원자료(월별지수)'!AA55/'원자료(월별지수)'!Z55-1,"")</f>
        <v>0.0184042875922741</v>
      </c>
      <c r="Y55" s="12" t="n">
        <f aca="false">IFERROR('원자료(월별지수)'!AB55/'원자료(월별지수)'!AA55-1,"")</f>
        <v>0.0021844901201471</v>
      </c>
      <c r="Z55" s="12" t="n">
        <f aca="false">IFERROR('원자료(월별지수)'!AC55/'원자료(월별지수)'!AB55-1,"")</f>
        <v>0.00931338551471317</v>
      </c>
      <c r="AA55" s="12" t="n">
        <f aca="false">IFERROR('원자료(월별지수)'!AD55/'원자료(월별지수)'!AC55-1,"")</f>
        <v>-0.0159026209875331</v>
      </c>
      <c r="AB55" s="12" t="n">
        <f aca="false">IFERROR('원자료(월별지수)'!AE55/'원자료(월별지수)'!AD55-1,"")</f>
        <v>-0.0510723192019951</v>
      </c>
      <c r="AC55" s="12" t="n">
        <f aca="false">IFERROR('원자료(월별지수)'!AF55/'원자료(월별지수)'!AE55-1,"")</f>
        <v>-0.0347944917481342</v>
      </c>
      <c r="AD55" s="12" t="n">
        <f aca="false">IFERROR('원자료(월별지수)'!AG55/'원자료(월별지수)'!AF55-1,"")</f>
        <v>-0.0236331953822695</v>
      </c>
      <c r="AE55" s="12" t="n">
        <f aca="false">IFERROR('원자료(월별지수)'!AH55/'원자료(월별지수)'!AG55-1,"")</f>
        <v>-0.000223089793642051</v>
      </c>
      <c r="AF55" s="12" t="n">
        <f aca="false">IFERROR('원자료(월별지수)'!AI55/'원자료(월별지수)'!AH55-1,"")</f>
        <v>-0.0633716389601695</v>
      </c>
      <c r="AG55" s="12" t="n">
        <f aca="false">IFERROR('원자료(월별지수)'!AJ55/'원자료(월별지수)'!AI55-1,"")</f>
        <v>-0.0337105419892794</v>
      </c>
      <c r="AH55" s="12" t="n">
        <f aca="false">IFERROR('원자료(월별지수)'!AK55/'원자료(월별지수)'!AJ55-1,"")</f>
        <v>0.0453648915187377</v>
      </c>
      <c r="AI55" s="12" t="n">
        <f aca="false">IFERROR('원자료(월별지수)'!AL55/'원자료(월별지수)'!AK55-1,"")</f>
        <v>0.0386792452830189</v>
      </c>
      <c r="AJ55" s="12" t="n">
        <f aca="false">IFERROR('원자료(월별지수)'!AM55/'원자료(월별지수)'!AL55-1,"")</f>
        <v>0.0376930063578567</v>
      </c>
      <c r="AK55" s="12" t="n">
        <f aca="false">IFERROR('원자료(월별지수)'!AN55/'원자료(월별지수)'!AM55-1,"")</f>
        <v>0.00218818380743979</v>
      </c>
      <c r="AL55" s="12" t="n">
        <f aca="false">IFERROR('원자료(월별지수)'!AO55/'원자료(월별지수)'!AN55-1,"")</f>
        <v>0.00272925764192133</v>
      </c>
      <c r="AM55" s="12" t="n">
        <f aca="false">IFERROR('원자료(월별지수)'!AP55/'원자료(월별지수)'!AO55-1,"")</f>
        <v>-0.00685900925421878</v>
      </c>
      <c r="AN55" s="12" t="n">
        <f aca="false">IFERROR('원자료(월별지수)'!AQ55/'원자료(월별지수)'!AP55-1,"")</f>
        <v>-0.0155667616750713</v>
      </c>
      <c r="AO55" s="12" t="n">
        <f aca="false">IFERROR('원자료(월별지수)'!AR55/'원자료(월별지수)'!AQ55-1,"")</f>
        <v>-0.0229398663697105</v>
      </c>
      <c r="AP55" s="12" t="n">
        <f aca="false">IFERROR('원자료(월별지수)'!AS55/'원자료(월별지수)'!AR55-1,"")</f>
        <v>-0.0221107818554821</v>
      </c>
      <c r="AQ55" s="12" t="n">
        <f aca="false">IFERROR('원자료(월별지수)'!AT55/'원자료(월별지수)'!AS55-1,"")</f>
        <v>-0.01013986013986</v>
      </c>
      <c r="AR55" s="12" t="n">
        <f aca="false">IFERROR('원자료(월별지수)'!AU55/'원자료(월별지수)'!AT55-1,"")</f>
        <v>-0.0307311903920877</v>
      </c>
      <c r="AS55" s="12" t="n">
        <f aca="false">IFERROR('원자료(월별지수)'!AV55/'원자료(월별지수)'!AU55-1,"")</f>
        <v>-0.0240524781341107</v>
      </c>
      <c r="AT55" s="12" t="n">
        <f aca="false">IFERROR('원자료(월별지수)'!AW55/'원자료(월별지수)'!AV55-1,"")</f>
        <v>0.00248941996514818</v>
      </c>
      <c r="AU55" s="12" t="n">
        <f aca="false">IFERROR('원자료(월별지수)'!AX55/'원자료(월별지수)'!AW55-1,"")</f>
        <v>-0.0180034765333996</v>
      </c>
      <c r="AV55" s="12" t="n">
        <f aca="false">IFERROR('원자료(월별지수)'!AY55/'원자료(월별지수)'!AX55-1,"")</f>
        <v>-0.0182071058288026</v>
      </c>
      <c r="AW55" s="12" t="n">
        <f aca="false">IFERROR('원자료(월별지수)'!AZ55/'원자료(월별지수)'!AY55-1,"")</f>
        <v>-0.0119768190598842</v>
      </c>
      <c r="AX55" s="12" t="n">
        <f aca="false">IFERROR('원자료(월별지수)'!BA55/'원자료(월별지수)'!AZ55-1,"")</f>
        <v>-0.0135557872784149</v>
      </c>
      <c r="AY55" s="12" t="n">
        <f aca="false">IFERROR('원자료(월별지수)'!BB55/'원자료(월별지수)'!BA55-1,"")</f>
        <v>0.00660676532769555</v>
      </c>
      <c r="AZ55" s="12" t="n">
        <f aca="false">IFERROR('원자료(월별지수)'!BC55/'원자료(월별지수)'!BB55-1,"")</f>
        <v>0.00708847466526641</v>
      </c>
      <c r="BA55" s="12" t="n">
        <f aca="false">IFERROR('원자료(월별지수)'!BD55/'원자료(월별지수)'!BC55-1,"")</f>
        <v>-0.0501824817518247</v>
      </c>
      <c r="BB55" s="12" t="n">
        <f aca="false">IFERROR('원자료(월별지수)'!BE55/'원자료(월별지수)'!BD55-1,"")</f>
        <v>-0.00260738301084118</v>
      </c>
      <c r="BC55" s="12" t="n">
        <f aca="false">IFERROR('원자료(월별지수)'!BF55/'원자료(월별지수)'!BE55-1,"")</f>
        <v>0.00756741882223433</v>
      </c>
      <c r="BD55" s="12" t="n">
        <f aca="false">IFERROR('원자료(월별지수)'!BG55/'원자료(월별지수)'!BF55-1,"")</f>
        <v>-0.00710091492557707</v>
      </c>
      <c r="BE55" s="12" t="n">
        <f aca="false">IFERROR('원자료(월별지수)'!BH55/'원자료(월별지수)'!BG55-1,"")</f>
        <v>0.002750653280154</v>
      </c>
      <c r="BF55" s="12" t="n">
        <f aca="false">IFERROR('원자료(월별지수)'!BI55/'원자료(월별지수)'!BH55-1,"")</f>
        <v>-0.0119325195446439</v>
      </c>
      <c r="BG55" s="12" t="n">
        <f aca="false">IFERROR('원자료(월별지수)'!BJ55/'원자료(월별지수)'!BI55-1,"")</f>
        <v>-0.00707940033314836</v>
      </c>
      <c r="BH55" s="12" t="n">
        <f aca="false">IFERROR('원자료(월별지수)'!BK55/'원자료(월별지수)'!BJ55-1,"")</f>
        <v>-0.000838808891374332</v>
      </c>
      <c r="BI55" s="12" t="n">
        <f aca="false">IFERROR('원자료(월별지수)'!BL55/'원자료(월별지수)'!BK55-1,"")</f>
        <v>0.0148313977892822</v>
      </c>
      <c r="BJ55" s="12" t="n">
        <f aca="false">IFERROR('원자료(월별지수)'!BM55/'원자료(월별지수)'!BL55-1,"")</f>
        <v>0.00248173169722854</v>
      </c>
      <c r="BK55" s="12" t="n">
        <f aca="false">IFERROR('원자료(월별지수)'!BN55/'원자료(월별지수)'!BM55-1,"")</f>
        <v>-0.00921468848851581</v>
      </c>
      <c r="BL55" s="12" t="n">
        <f aca="false">IFERROR('원자료(월별지수)'!BO55/'원자료(월별지수)'!BN55-1,"")</f>
        <v>-0.0247084952803998</v>
      </c>
      <c r="BM55" s="12" t="n">
        <f aca="false">IFERROR('원자료(월별지수)'!BP55/'원자료(월별지수)'!BO55-1,"")</f>
        <v>-0.0482493595217762</v>
      </c>
      <c r="BN55" s="12" t="n">
        <f aca="false">IFERROR('원자료(월별지수)'!BQ55/'원자료(월별지수)'!BP55-1,"")</f>
        <v>-0.025123373710184</v>
      </c>
    </row>
    <row r="56" customFormat="false" ht="15" hidden="false" customHeight="false" outlineLevel="0" collapsed="false">
      <c r="A56" s="8" t="s">
        <v>146</v>
      </c>
      <c r="B56" s="9" t="s">
        <v>150</v>
      </c>
      <c r="C56" s="12" t="n">
        <f aca="false">IFERROR('원자료(월별지수)'!F56/'원자료(월별지수)'!E56-1,"")</f>
        <v>0.0357291233901123</v>
      </c>
      <c r="D56" s="12" t="n">
        <f aca="false">IFERROR('원자료(월별지수)'!G56/'원자료(월별지수)'!F56-1,"")</f>
        <v>0.0198555956678701</v>
      </c>
      <c r="E56" s="12" t="n">
        <f aca="false">IFERROR('원자료(월별지수)'!H56/'원자료(월별지수)'!G56-1,"")</f>
        <v>-0.0103244837758112</v>
      </c>
      <c r="F56" s="12" t="n">
        <f aca="false">IFERROR('원자료(월별지수)'!I56/'원자료(월별지수)'!H56-1,"")</f>
        <v>-0.0431197218082464</v>
      </c>
      <c r="G56" s="12" t="n">
        <f aca="false">IFERROR('원자료(월별지수)'!J56/'원자료(월별지수)'!I56-1,"")</f>
        <v>-0.0166130204547815</v>
      </c>
      <c r="H56" s="12" t="n">
        <f aca="false">IFERROR('원자료(월별지수)'!K56/'원자료(월별지수)'!J56-1,"")</f>
        <v>-0.0694752402069475</v>
      </c>
      <c r="I56" s="12" t="n">
        <f aca="false">IFERROR('원자료(월별지수)'!L56/'원자료(월별지수)'!K56-1,"")</f>
        <v>-0.174514921139226</v>
      </c>
      <c r="J56" s="12" t="n">
        <f aca="false">IFERROR('원자료(월별지수)'!M56/'원자료(월별지수)'!L56-1,"")</f>
        <v>0.0394501718213058</v>
      </c>
      <c r="K56" s="12" t="n">
        <f aca="false">IFERROR('원자료(월별지수)'!N56/'원자료(월별지수)'!M56-1,"")</f>
        <v>-0.0723353610156043</v>
      </c>
      <c r="L56" s="12" t="n">
        <f aca="false">IFERROR('원자료(월별지수)'!O56/'원자료(월별지수)'!N56-1,"")</f>
        <v>0.203991446899501</v>
      </c>
      <c r="M56" s="12" t="n">
        <f aca="false">IFERROR('원자료(월별지수)'!P56/'원자료(월별지수)'!O56-1,"")</f>
        <v>0.192161970163391</v>
      </c>
      <c r="N56" s="12" t="n">
        <f aca="false">IFERROR('원자료(월별지수)'!Q56/'원자료(월별지수)'!P56-1,"")</f>
        <v>-0.0110239348495382</v>
      </c>
      <c r="O56" s="12" t="n">
        <f aca="false">IFERROR('원자료(월별지수)'!R56/'원자료(월별지수)'!Q56-1,"")</f>
        <v>-0.0239003816027314</v>
      </c>
      <c r="P56" s="12" t="n">
        <f aca="false">IFERROR('원자료(월별지수)'!S56/'원자료(월별지수)'!R56-1,"")</f>
        <v>0.13343621399177</v>
      </c>
      <c r="Q56" s="12" t="n">
        <f aca="false">IFERROR('원자료(월별지수)'!T56/'원자료(월별지수)'!S56-1,"")</f>
        <v>0.0550966687846055</v>
      </c>
      <c r="R56" s="12" t="n">
        <f aca="false">IFERROR('원자료(월별지수)'!U56/'원자료(월별지수)'!T56-1,"")</f>
        <v>0.0146249139710943</v>
      </c>
      <c r="S56" s="12" t="n">
        <f aca="false">IFERROR('원자료(월별지수)'!V56/'원자료(월별지수)'!U56-1,"")</f>
        <v>0.00186535526538911</v>
      </c>
      <c r="T56" s="12" t="n">
        <f aca="false">IFERROR('원자료(월별지수)'!W56/'원자료(월별지수)'!V56-1,"")</f>
        <v>-0.183818551117129</v>
      </c>
      <c r="U56" s="12" t="n">
        <f aca="false">IFERROR('원자료(월별지수)'!X56/'원자료(월별지수)'!W56-1,"")</f>
        <v>-0.13376192451265</v>
      </c>
      <c r="V56" s="12" t="n">
        <f aca="false">IFERROR('원자료(월별지수)'!Y56/'원자료(월별지수)'!X56-1,"")</f>
        <v>-0.0628441465166387</v>
      </c>
      <c r="W56" s="12" t="n">
        <f aca="false">IFERROR('원자료(월별지수)'!Z56/'원자료(월별지수)'!Y56-1,"")</f>
        <v>0.149316643249457</v>
      </c>
      <c r="X56" s="12" t="n">
        <f aca="false">IFERROR('원자료(월별지수)'!AA56/'원자료(월별지수)'!Z56-1,"")</f>
        <v>0.185596799288731</v>
      </c>
      <c r="Y56" s="12" t="n">
        <f aca="false">IFERROR('원자료(월별지수)'!AB56/'원자료(월별지수)'!AA56-1,"")</f>
        <v>0.00581177352830897</v>
      </c>
      <c r="Z56" s="12" t="n">
        <f aca="false">IFERROR('원자료(월별지수)'!AC56/'원자료(월별지수)'!AB56-1,"")</f>
        <v>0.0152842497670085</v>
      </c>
      <c r="AA56" s="12" t="n">
        <f aca="false">IFERROR('원자료(월별지수)'!AD56/'원자료(월별지수)'!AC56-1,"")</f>
        <v>0.012942904351019</v>
      </c>
      <c r="AB56" s="12" t="n">
        <f aca="false">IFERROR('원자료(월별지수)'!AE56/'원자료(월별지수)'!AD56-1,"")</f>
        <v>0.0740371545083824</v>
      </c>
      <c r="AC56" s="12" t="n">
        <f aca="false">IFERROR('원자료(월별지수)'!AF56/'원자료(월별지수)'!AE56-1,"")</f>
        <v>0.0715491056361797</v>
      </c>
      <c r="AD56" s="12" t="n">
        <f aca="false">IFERROR('원자료(월별지수)'!AG56/'원자료(월별지수)'!AF56-1,"")</f>
        <v>0</v>
      </c>
      <c r="AE56" s="12" t="n">
        <f aca="false">IFERROR('원자료(월별지수)'!AH56/'원자료(월별지수)'!AG56-1,"")</f>
        <v>0</v>
      </c>
      <c r="AF56" s="12" t="n">
        <f aca="false">IFERROR('원자료(월별지수)'!AI56/'원자료(월별지수)'!AH56-1,"")</f>
        <v>-0.160236220472441</v>
      </c>
      <c r="AG56" s="12" t="n">
        <f aca="false">IFERROR('원자료(월별지수)'!AJ56/'원자료(월별지수)'!AI56-1,"")</f>
        <v>0.0230661040787623</v>
      </c>
      <c r="AH56" s="12" t="n">
        <f aca="false">IFERROR('원자료(월별지수)'!AK56/'원자료(월별지수)'!AJ56-1,"")</f>
        <v>-0.0209879937677574</v>
      </c>
      <c r="AI56" s="12" t="n">
        <f aca="false">IFERROR('원자료(월별지수)'!AL56/'원자료(월별지수)'!AK56-1,"")</f>
        <v>0.107096049428946</v>
      </c>
      <c r="AJ56" s="12" t="n">
        <f aca="false">IFERROR('원자료(월별지수)'!AM56/'원자료(월별지수)'!AL56-1,"")</f>
        <v>-0.0923389142567225</v>
      </c>
      <c r="AK56" s="12" t="n">
        <f aca="false">IFERROR('원자료(월별지수)'!AN56/'원자료(월별지수)'!AM56-1,"")</f>
        <v>0.426122601080678</v>
      </c>
      <c r="AL56" s="12" t="n">
        <f aca="false">IFERROR('원자료(월별지수)'!AO56/'원자료(월별지수)'!AN56-1,"")</f>
        <v>-0.0697674418604651</v>
      </c>
      <c r="AM56" s="12" t="n">
        <f aca="false">IFERROR('원자료(월별지수)'!AP56/'원자료(월별지수)'!AO56-1,"")</f>
        <v>0.0622191011235953</v>
      </c>
      <c r="AN56" s="12" t="n">
        <f aca="false">IFERROR('원자료(월별지수)'!AQ56/'원자료(월별지수)'!AP56-1,"")</f>
        <v>-0.0458812640486579</v>
      </c>
      <c r="AO56" s="12" t="n">
        <f aca="false">IFERROR('원자료(월별지수)'!AR56/'원자료(월별지수)'!AQ56-1,"")</f>
        <v>0</v>
      </c>
      <c r="AP56" s="12" t="n">
        <f aca="false">IFERROR('원자료(월별지수)'!AS56/'원자료(월별지수)'!AR56-1,"")</f>
        <v>0</v>
      </c>
      <c r="AQ56" s="12" t="n">
        <f aca="false">IFERROR('원자료(월별지수)'!AT56/'원자료(월별지수)'!AS56-1,"")</f>
        <v>0</v>
      </c>
      <c r="AR56" s="12" t="n">
        <f aca="false">IFERROR('원자료(월별지수)'!AU56/'원자료(월별지수)'!AT56-1,"")</f>
        <v>0</v>
      </c>
      <c r="AS56" s="12" t="n">
        <f aca="false">IFERROR('원자료(월별지수)'!AV56/'원자료(월별지수)'!AU56-1,"")</f>
        <v>0</v>
      </c>
      <c r="AT56" s="12" t="n">
        <f aca="false">IFERROR('원자료(월별지수)'!AW56/'원자료(월별지수)'!AV56-1,"")</f>
        <v>0</v>
      </c>
      <c r="AU56" s="12" t="n">
        <f aca="false">IFERROR('원자료(월별지수)'!AX56/'원자료(월별지수)'!AW56-1,"")</f>
        <v>0</v>
      </c>
      <c r="AV56" s="12" t="n">
        <f aca="false">IFERROR('원자료(월별지수)'!AY56/'원자료(월별지수)'!AX56-1,"")</f>
        <v>0</v>
      </c>
      <c r="AW56" s="12" t="n">
        <f aca="false">IFERROR('원자료(월별지수)'!AZ56/'원자료(월별지수)'!AY56-1,"")</f>
        <v>-0.280557095343681</v>
      </c>
      <c r="AX56" s="12" t="n">
        <f aca="false">IFERROR('원자료(월별지수)'!BA56/'원자료(월별지수)'!AZ56-1,"")</f>
        <v>0.0723297698160454</v>
      </c>
      <c r="AY56" s="12" t="n">
        <f aca="false">IFERROR('원자료(월별지수)'!BB56/'원자료(월별지수)'!BA56-1,"")</f>
        <v>0.204957786958865</v>
      </c>
      <c r="AZ56" s="12" t="n">
        <f aca="false">IFERROR('원자료(월별지수)'!BC56/'원자료(월별지수)'!BB56-1,"")</f>
        <v>0.199165175909362</v>
      </c>
      <c r="BA56" s="12" t="n">
        <f aca="false">IFERROR('원자료(월별지수)'!BD56/'원자료(월별지수)'!BC56-1,"")</f>
        <v>0</v>
      </c>
      <c r="BB56" s="12" t="n">
        <f aca="false">IFERROR('원자료(월별지수)'!BE56/'원자료(월별지수)'!BD56-1,"")</f>
        <v>0</v>
      </c>
      <c r="BC56" s="12" t="n">
        <f aca="false">IFERROR('원자료(월별지수)'!BF56/'원자료(월별지수)'!BE56-1,"")</f>
        <v>-0.362692690203879</v>
      </c>
      <c r="BD56" s="12" t="n">
        <f aca="false">IFERROR('원자료(월별지수)'!BG56/'원자료(월별지수)'!BF56-1,"")</f>
        <v>0.00848532136935543</v>
      </c>
      <c r="BE56" s="12" t="n">
        <f aca="false">IFERROR('원자료(월별지수)'!BH56/'원자료(월별지수)'!BG56-1,"")</f>
        <v>-0.0294003868471954</v>
      </c>
      <c r="BF56" s="12" t="n">
        <f aca="false">IFERROR('원자료(월별지수)'!BI56/'원자료(월별지수)'!BH56-1,"")</f>
        <v>0.0657632522917497</v>
      </c>
      <c r="BG56" s="12" t="n">
        <f aca="false">IFERROR('원자료(월별지수)'!BJ56/'원자료(월별지수)'!BI56-1,"")</f>
        <v>0.18539640987285</v>
      </c>
      <c r="BH56" s="12" t="n">
        <f aca="false">IFERROR('원자료(월별지수)'!BK56/'원자료(월별지수)'!BJ56-1,"")</f>
        <v>-0.0991403107500593</v>
      </c>
      <c r="BI56" s="12" t="n">
        <f aca="false">IFERROR('원자료(월별지수)'!BL56/'원자료(월별지수)'!BK56-1,"")</f>
        <v>0.0605848362808614</v>
      </c>
      <c r="BJ56" s="12" t="n">
        <f aca="false">IFERROR('원자료(월별지수)'!BM56/'원자료(월별지수)'!BL56-1,"")</f>
        <v>-0.0102360904738319</v>
      </c>
      <c r="BK56" s="12" t="n">
        <f aca="false">IFERROR('원자료(월별지수)'!BN56/'원자료(월별지수)'!BM56-1,"")</f>
        <v>0.1209341117598</v>
      </c>
      <c r="BL56" s="12" t="n">
        <f aca="false">IFERROR('원자료(월별지수)'!BO56/'원자료(월별지수)'!BN56-1,"")</f>
        <v>0.034300595238095</v>
      </c>
      <c r="BM56" s="12" t="n">
        <f aca="false">IFERROR('원자료(월별지수)'!BP56/'원자료(월별지수)'!BO56-1,"")</f>
        <v>0</v>
      </c>
      <c r="BN56" s="12" t="n">
        <f aca="false">IFERROR('원자료(월별지수)'!BQ56/'원자료(월별지수)'!BP56-1,"")</f>
        <v>0</v>
      </c>
    </row>
    <row r="57" customFormat="false" ht="15" hidden="false" customHeight="false" outlineLevel="0" collapsed="false">
      <c r="A57" s="8" t="s">
        <v>146</v>
      </c>
      <c r="B57" s="9" t="s">
        <v>151</v>
      </c>
      <c r="C57" s="12" t="n">
        <f aca="false">IFERROR('원자료(월별지수)'!F57/'원자료(월별지수)'!E57-1,"")</f>
        <v>0.0341660228345782</v>
      </c>
      <c r="D57" s="12" t="n">
        <f aca="false">IFERROR('원자료(월별지수)'!G57/'원자료(월별지수)'!F57-1,"")</f>
        <v>-0.000166016435627081</v>
      </c>
      <c r="E57" s="12" t="n">
        <f aca="false">IFERROR('원자료(월별지수)'!H57/'원자료(월별지수)'!G57-1,"")</f>
        <v>0.00124533001245331</v>
      </c>
      <c r="F57" s="12" t="n">
        <f aca="false">IFERROR('원자료(월별지수)'!I57/'원자료(월별지수)'!H57-1,"")</f>
        <v>-0.00190713101160855</v>
      </c>
      <c r="G57" s="12" t="n">
        <f aca="false">IFERROR('원자료(월별지수)'!J57/'원자료(월별지수)'!I57-1,"")</f>
        <v>-0.00415385893495057</v>
      </c>
      <c r="H57" s="12" t="n">
        <f aca="false">IFERROR('원자료(월별지수)'!K57/'원자료(월별지수)'!J57-1,"")</f>
        <v>0</v>
      </c>
      <c r="I57" s="12" t="n">
        <f aca="false">IFERROR('원자료(월별지수)'!L57/'원자료(월별지수)'!K57-1,"")</f>
        <v>0.00283640610661551</v>
      </c>
      <c r="J57" s="12" t="n">
        <f aca="false">IFERROR('원자료(월별지수)'!M57/'원자료(월별지수)'!L57-1,"")</f>
        <v>-0.00549039181432487</v>
      </c>
      <c r="K57" s="12" t="n">
        <f aca="false">IFERROR('원자료(월별지수)'!N57/'원자료(월별지수)'!M57-1,"")</f>
        <v>-0.00317858636553736</v>
      </c>
      <c r="L57" s="12" t="n">
        <f aca="false">IFERROR('원자료(월별지수)'!O57/'원자료(월별지수)'!N57-1,"")</f>
        <v>0.00495091046404306</v>
      </c>
      <c r="M57" s="12" t="n">
        <f aca="false">IFERROR('원자료(월별지수)'!P57/'원자료(월별지수)'!O57-1,"")</f>
        <v>0.0131095524382097</v>
      </c>
      <c r="N57" s="12" t="n">
        <f aca="false">IFERROR('원자료(월별지수)'!Q57/'원자료(월별지수)'!P57-1,"")</f>
        <v>0.00288469463446805</v>
      </c>
      <c r="O57" s="12" t="n">
        <f aca="false">IFERROR('원자료(월별지수)'!R57/'원자료(월별지수)'!Q57-1,"")</f>
        <v>0.00788954635108485</v>
      </c>
      <c r="P57" s="12" t="n">
        <f aca="false">IFERROR('원자료(월별지수)'!S57/'원자료(월별지수)'!R57-1,"")</f>
        <v>0.0578114807566861</v>
      </c>
      <c r="Q57" s="12" t="n">
        <f aca="false">IFERROR('원자료(월별지수)'!T57/'원자료(월별지수)'!S57-1,"")</f>
        <v>0.0895706467278195</v>
      </c>
      <c r="R57" s="12" t="n">
        <f aca="false">IFERROR('원자료(월별지수)'!U57/'원자료(월별지수)'!T57-1,"")</f>
        <v>0.0326848249027238</v>
      </c>
      <c r="S57" s="12" t="n">
        <f aca="false">IFERROR('원자료(월별지수)'!V57/'원자료(월별지수)'!U57-1,"")</f>
        <v>0.013632938274988</v>
      </c>
      <c r="T57" s="12" t="n">
        <f aca="false">IFERROR('원자료(월별지수)'!W57/'원자료(월별지수)'!V57-1,"")</f>
        <v>-0.00560962422276301</v>
      </c>
      <c r="U57" s="12" t="n">
        <f aca="false">IFERROR('원자료(월별지수)'!X57/'원자료(월별지수)'!W57-1,"")</f>
        <v>-0.00570923672942303</v>
      </c>
      <c r="V57" s="12" t="n">
        <f aca="false">IFERROR('원자료(월별지수)'!Y57/'원자료(월별지수)'!X57-1,"")</f>
        <v>-0.00375965547884327</v>
      </c>
      <c r="W57" s="12" t="n">
        <f aca="false">IFERROR('원자료(월별지수)'!Z57/'원자료(월별지수)'!Y57-1,"")</f>
        <v>-0.0109784547824895</v>
      </c>
      <c r="X57" s="12" t="n">
        <f aca="false">IFERROR('원자료(월별지수)'!AA57/'원자료(월별지수)'!Z57-1,"")</f>
        <v>0.0118634660746497</v>
      </c>
      <c r="Y57" s="12" t="n">
        <f aca="false">IFERROR('원자료(월별지수)'!AB57/'원자료(월별지수)'!AA57-1,"")</f>
        <v>0.0162495714775455</v>
      </c>
      <c r="Z57" s="12" t="n">
        <f aca="false">IFERROR('원자료(월별지수)'!AC57/'원자료(월별지수)'!AB57-1,"")</f>
        <v>-0.00161921468087989</v>
      </c>
      <c r="AA57" s="12" t="n">
        <f aca="false">IFERROR('원자료(월별지수)'!AD57/'원자료(월별지수)'!AC57-1,"")</f>
        <v>-0.00689282335450725</v>
      </c>
      <c r="AB57" s="12" t="n">
        <f aca="false">IFERROR('원자료(월별지수)'!AE57/'원자료(월별지수)'!AD57-1,"")</f>
        <v>-0.0560016330974416</v>
      </c>
      <c r="AC57" s="12" t="n">
        <f aca="false">IFERROR('원자료(월별지수)'!AF57/'원자료(월별지수)'!AE57-1,"")</f>
        <v>0.0628559071577886</v>
      </c>
      <c r="AD57" s="12" t="n">
        <f aca="false">IFERROR('원자료(월별지수)'!AG57/'원자료(월별지수)'!AF57-1,"")</f>
        <v>0.0313326551373347</v>
      </c>
      <c r="AE57" s="12" t="n">
        <f aca="false">IFERROR('원자료(월별지수)'!AH57/'원자료(월별지수)'!AG57-1,"")</f>
        <v>0.0103241928059445</v>
      </c>
      <c r="AF57" s="12" t="n">
        <f aca="false">IFERROR('원자료(월별지수)'!AI57/'원자료(월별지수)'!AH57-1,"")</f>
        <v>-0.0167274147357459</v>
      </c>
      <c r="AG57" s="12" t="n">
        <f aca="false">IFERROR('원자료(월별지수)'!AJ57/'원자료(월별지수)'!AI57-1,"")</f>
        <v>0.00642086449990065</v>
      </c>
      <c r="AH57" s="12" t="n">
        <f aca="false">IFERROR('원자료(월별지수)'!AK57/'원자료(월별지수)'!AJ57-1,"")</f>
        <v>-0.0166403578005788</v>
      </c>
      <c r="AI57" s="12" t="n">
        <f aca="false">IFERROR('원자료(월별지수)'!AL57/'원자료(월별지수)'!AK57-1,"")</f>
        <v>-0.0452812520901611</v>
      </c>
      <c r="AJ57" s="12" t="n">
        <f aca="false">IFERROR('원자료(월별지수)'!AM57/'원자료(월별지수)'!AL57-1,"")</f>
        <v>-0.0221381532856942</v>
      </c>
      <c r="AK57" s="12" t="n">
        <f aca="false">IFERROR('원자료(월별지수)'!AN57/'원자료(월별지수)'!AM57-1,"")</f>
        <v>0.0492907293308496</v>
      </c>
      <c r="AL57" s="12" t="n">
        <f aca="false">IFERROR('원자료(월별지수)'!AO57/'원자료(월별지수)'!AN57-1,"")</f>
        <v>0.0126314352041512</v>
      </c>
      <c r="AM57" s="12" t="n">
        <f aca="false">IFERROR('원자료(월별지수)'!AP57/'원자료(월별지수)'!AO57-1,"")</f>
        <v>0.000134852673454366</v>
      </c>
      <c r="AN57" s="12" t="n">
        <f aca="false">IFERROR('원자료(월별지수)'!AQ57/'원자료(월별지수)'!AP57-1,"")</f>
        <v>0.00741589698644907</v>
      </c>
      <c r="AO57" s="12" t="n">
        <f aca="false">IFERROR('원자료(월별지수)'!AR57/'원자료(월별지수)'!AQ57-1,"")</f>
        <v>-0.0259653349394365</v>
      </c>
      <c r="AP57" s="12" t="n">
        <f aca="false">IFERROR('원자료(월별지수)'!AS57/'원자료(월별지수)'!AR57-1,"")</f>
        <v>0.0480247337684643</v>
      </c>
      <c r="AQ57" s="12" t="n">
        <f aca="false">IFERROR('원자료(월별지수)'!AT57/'원자료(월별지수)'!AS57-1,"")</f>
        <v>-0.0109479480791923</v>
      </c>
      <c r="AR57" s="12" t="n">
        <f aca="false">IFERROR('원자료(월별지수)'!AU57/'원자료(월별지수)'!AT57-1,"")</f>
        <v>-0.0448730695300591</v>
      </c>
      <c r="AS57" s="12" t="n">
        <f aca="false">IFERROR('원자료(월별지수)'!AV57/'원자료(월별지수)'!AU57-1,"")</f>
        <v>-0.00201249132546832</v>
      </c>
      <c r="AT57" s="12" t="n">
        <f aca="false">IFERROR('원자료(월별지수)'!AW57/'원자료(월별지수)'!AV57-1,"")</f>
        <v>0.0033377372922605</v>
      </c>
      <c r="AU57" s="12" t="n">
        <f aca="false">IFERROR('원자료(월별지수)'!AX57/'원자료(월별지수)'!AW57-1,"")</f>
        <v>-0.00762353593457621</v>
      </c>
      <c r="AV57" s="12" t="n">
        <f aca="false">IFERROR('원자료(월별지수)'!AY57/'원자료(월별지수)'!AX57-1,"")</f>
        <v>0.00789161254277526</v>
      </c>
      <c r="AW57" s="12" t="n">
        <f aca="false">IFERROR('원자료(월별지수)'!AZ57/'원자료(월별지수)'!AY57-1,"")</f>
        <v>0.0311807095343681</v>
      </c>
      <c r="AX57" s="12" t="n">
        <f aca="false">IFERROR('원자료(월별지수)'!BA57/'원자료(월별지수)'!AZ57-1,"")</f>
        <v>-0.0307082381400349</v>
      </c>
      <c r="AY57" s="12" t="n">
        <f aca="false">IFERROR('원자료(월별지수)'!BB57/'원자료(월별지수)'!BA57-1,"")</f>
        <v>0.0513691507798959</v>
      </c>
      <c r="AZ57" s="12" t="n">
        <f aca="false">IFERROR('원자료(월별지수)'!BC57/'원자료(월별지수)'!BB57-1,"")</f>
        <v>-0.0156929974943953</v>
      </c>
      <c r="BA57" s="12" t="n">
        <f aca="false">IFERROR('원자료(월별지수)'!BD57/'원자료(월별지수)'!BC57-1,"")</f>
        <v>-0.107248124330118</v>
      </c>
      <c r="BB57" s="12" t="n">
        <f aca="false">IFERROR('원자료(월별지수)'!BE57/'원자료(월별지수)'!BD57-1,"")</f>
        <v>-0.0233360846402042</v>
      </c>
      <c r="BC57" s="12" t="n">
        <f aca="false">IFERROR('원자료(월별지수)'!BF57/'원자료(월별지수)'!BE57-1,"")</f>
        <v>0.00845113706207745</v>
      </c>
      <c r="BD57" s="12" t="n">
        <f aca="false">IFERROR('원자료(월별지수)'!BG57/'원자료(월별지수)'!BF57-1,"")</f>
        <v>-0.0928691147341155</v>
      </c>
      <c r="BE57" s="12" t="n">
        <f aca="false">IFERROR('원자료(월별지수)'!BH57/'원자료(월별지수)'!BG57-1,"")</f>
        <v>-0.0591248845217098</v>
      </c>
      <c r="BF57" s="12" t="n">
        <f aca="false">IFERROR('원자료(월별지수)'!BI57/'원자료(월별지수)'!BH57-1,"")</f>
        <v>0.00151745068285281</v>
      </c>
      <c r="BG57" s="12" t="n">
        <f aca="false">IFERROR('원자료(월별지수)'!BJ57/'원자료(월별지수)'!BI57-1,"")</f>
        <v>-0.00802139037433158</v>
      </c>
      <c r="BH57" s="12" t="n">
        <f aca="false">IFERROR('원자료(월별지수)'!BK57/'원자료(월별지수)'!BJ57-1,"")</f>
        <v>0.0361185983827492</v>
      </c>
      <c r="BI57" s="12" t="n">
        <f aca="false">IFERROR('원자료(월별지수)'!BL57/'원자료(월별지수)'!BK57-1,"")</f>
        <v>0.0168227540756158</v>
      </c>
      <c r="BJ57" s="12" t="n">
        <f aca="false">IFERROR('원자료(월별지수)'!BM57/'원자료(월별지수)'!BL57-1,"")</f>
        <v>0.0206378986866791</v>
      </c>
      <c r="BK57" s="12" t="n">
        <f aca="false">IFERROR('원자료(월별지수)'!BN57/'원자료(월별지수)'!BM57-1,"")</f>
        <v>-0.0225601604278075</v>
      </c>
      <c r="BL57" s="12" t="n">
        <f aca="false">IFERROR('원자료(월별지수)'!BO57/'원자료(월별지수)'!BN57-1,"")</f>
        <v>-0.00983074029748676</v>
      </c>
      <c r="BM57" s="12" t="n">
        <f aca="false">IFERROR('원자료(월별지수)'!BP57/'원자료(월별지수)'!BO57-1,"")</f>
        <v>0.00543900543900544</v>
      </c>
      <c r="BN57" s="12" t="n">
        <f aca="false">IFERROR('원자료(월별지수)'!BQ57/'원자료(월별지수)'!BP57-1,"")</f>
        <v>0.00918770393268087</v>
      </c>
    </row>
    <row r="58" customFormat="false" ht="15" hidden="false" customHeight="false" outlineLevel="0" collapsed="false">
      <c r="A58" s="8" t="s">
        <v>146</v>
      </c>
      <c r="B58" s="9" t="s">
        <v>152</v>
      </c>
      <c r="C58" s="12" t="n">
        <f aca="false">IFERROR('원자료(월별지수)'!F58/'원자료(월별지수)'!E58-1,"")</f>
        <v>0.0214262168992416</v>
      </c>
      <c r="D58" s="12" t="n">
        <f aca="false">IFERROR('원자료(월별지수)'!G58/'원자료(월별지수)'!F58-1,"")</f>
        <v>0.0342082616179003</v>
      </c>
      <c r="E58" s="12" t="n">
        <f aca="false">IFERROR('원자료(월별지수)'!H58/'원자료(월별지수)'!G58-1,"")</f>
        <v>-0.0141460370293323</v>
      </c>
      <c r="F58" s="12" t="n">
        <f aca="false">IFERROR('원자료(월별지수)'!I58/'원자료(월별지수)'!H58-1,"")</f>
        <v>-0.0201519307870859</v>
      </c>
      <c r="G58" s="12" t="n">
        <f aca="false">IFERROR('원자료(월별지수)'!J58/'원자료(월별지수)'!I58-1,"")</f>
        <v>-0.00829115968558214</v>
      </c>
      <c r="H58" s="12" t="n">
        <f aca="false">IFERROR('원자료(월별지수)'!K58/'원자료(월별지수)'!J58-1,"")</f>
        <v>-0.033441910966341</v>
      </c>
      <c r="I58" s="12" t="n">
        <f aca="false">IFERROR('원자료(월별지수)'!L58/'원자료(월별지수)'!K58-1,"")</f>
        <v>-0.0235902044484385</v>
      </c>
      <c r="J58" s="12" t="n">
        <f aca="false">IFERROR('원자료(월별지수)'!M58/'원자료(월별지수)'!L58-1,"")</f>
        <v>-0.0571790151863782</v>
      </c>
      <c r="K58" s="12" t="n">
        <f aca="false">IFERROR('원자료(월별지수)'!N58/'원자료(월별지수)'!M58-1,"")</f>
        <v>-0.00756558877364255</v>
      </c>
      <c r="L58" s="12" t="n">
        <f aca="false">IFERROR('원자료(월별지수)'!O58/'원자료(월별지수)'!N58-1,"")</f>
        <v>-0.00282798475347357</v>
      </c>
      <c r="M58" s="12" t="n">
        <f aca="false">IFERROR('원자료(월별지수)'!P58/'원자료(월별지수)'!O58-1,"")</f>
        <v>-0.0348951911220715</v>
      </c>
      <c r="N58" s="12" t="n">
        <f aca="false">IFERROR('원자료(월별지수)'!Q58/'원자료(월별지수)'!P58-1,"")</f>
        <v>-0.00728248371023377</v>
      </c>
      <c r="O58" s="12" t="n">
        <f aca="false">IFERROR('원자료(월별지수)'!R58/'원자료(월별지수)'!Q58-1,"")</f>
        <v>-0.0184041184041185</v>
      </c>
      <c r="P58" s="12" t="n">
        <f aca="false">IFERROR('원자료(월별지수)'!S58/'원자료(월별지수)'!R58-1,"")</f>
        <v>0.027664874786941</v>
      </c>
      <c r="Q58" s="12" t="n">
        <f aca="false">IFERROR('원자료(월별지수)'!T58/'원자료(월별지수)'!S58-1,"")</f>
        <v>0.035213064557285</v>
      </c>
      <c r="R58" s="12" t="n">
        <f aca="false">IFERROR('원자료(월별지수)'!U58/'원자료(월별지수)'!T58-1,"")</f>
        <v>0.00110919398570375</v>
      </c>
      <c r="S58" s="12" t="n">
        <f aca="false">IFERROR('원자료(월별지수)'!V58/'원자료(월별지수)'!U58-1,"")</f>
        <v>0.0112027576018712</v>
      </c>
      <c r="T58" s="12" t="n">
        <f aca="false">IFERROR('원자료(월별지수)'!W58/'원자료(월별지수)'!V58-1,"")</f>
        <v>-0.0446798149500852</v>
      </c>
      <c r="U58" s="12" t="n">
        <f aca="false">IFERROR('원자료(월별지수)'!X58/'원자료(월별지수)'!W58-1,"")</f>
        <v>0.0101949789728559</v>
      </c>
      <c r="V58" s="12" t="n">
        <f aca="false">IFERROR('원자료(월별지수)'!Y58/'원자료(월별지수)'!X58-1,"")</f>
        <v>-0.0137504730667338</v>
      </c>
      <c r="W58" s="12" t="n">
        <f aca="false">IFERROR('원자료(월별지수)'!Z58/'원자료(월별지수)'!Y58-1,"")</f>
        <v>-0.0143259145561525</v>
      </c>
      <c r="X58" s="12" t="n">
        <f aca="false">IFERROR('원자료(월별지수)'!AA58/'원자료(월별지수)'!Z58-1,"")</f>
        <v>0.0847391642875681</v>
      </c>
      <c r="Y58" s="12" t="n">
        <f aca="false">IFERROR('원자료(월별지수)'!AB58/'원자료(월별지수)'!AA58-1,"")</f>
        <v>0.0277545160904413</v>
      </c>
      <c r="Z58" s="12" t="n">
        <f aca="false">IFERROR('원자료(월별지수)'!AC58/'원자료(월별지수)'!AB58-1,"")</f>
        <v>0.0240949831218718</v>
      </c>
      <c r="AA58" s="12" t="n">
        <f aca="false">IFERROR('원자료(월별지수)'!AD58/'원자료(월별지수)'!AC58-1,"")</f>
        <v>-0.00329620368265526</v>
      </c>
      <c r="AB58" s="12" t="n">
        <f aca="false">IFERROR('원자료(월별지수)'!AE58/'원자료(월별지수)'!AD58-1,"")</f>
        <v>-0.00216672368571103</v>
      </c>
      <c r="AC58" s="12" t="n">
        <f aca="false">IFERROR('원자료(월별지수)'!AF58/'원자료(월별지수)'!AE58-1,"")</f>
        <v>-0.0158857142857143</v>
      </c>
      <c r="AD58" s="12" t="n">
        <f aca="false">IFERROR('원자료(월별지수)'!AG58/'원자료(월별지수)'!AF58-1,"")</f>
        <v>0.0974335152711647</v>
      </c>
      <c r="AE58" s="12" t="n">
        <f aca="false">IFERROR('원자료(월별지수)'!AH58/'원자료(월별지수)'!AG58-1,"")</f>
        <v>0.0193650793650793</v>
      </c>
      <c r="AF58" s="12" t="n">
        <f aca="false">IFERROR('원자료(월별지수)'!AI58/'원자료(월별지수)'!AH58-1,"")</f>
        <v>-0.0180629087511678</v>
      </c>
      <c r="AG58" s="12" t="n">
        <f aca="false">IFERROR('원자료(월별지수)'!AJ58/'원자료(월별지수)'!AI58-1,"")</f>
        <v>0.0213553229728301</v>
      </c>
      <c r="AH58" s="12" t="n">
        <f aca="false">IFERROR('원자료(월별지수)'!AK58/'원자료(월별지수)'!AJ58-1,"")</f>
        <v>-0.0219438981471898</v>
      </c>
      <c r="AI58" s="12" t="n">
        <f aca="false">IFERROR('원자료(월별지수)'!AL58/'원자료(월별지수)'!AK58-1,"")</f>
        <v>0.0295269340670972</v>
      </c>
      <c r="AJ58" s="12" t="n">
        <f aca="false">IFERROR('원자료(월별지수)'!AM58/'원자료(월별지수)'!AL58-1,"")</f>
        <v>0.0747327302631577</v>
      </c>
      <c r="AK58" s="12" t="n">
        <f aca="false">IFERROR('원자료(월별지수)'!AN58/'원자료(월별지수)'!AM58-1,"")</f>
        <v>0.0525107604017216</v>
      </c>
      <c r="AL58" s="12" t="n">
        <f aca="false">IFERROR('원자료(월별지수)'!AO58/'원자료(월별지수)'!AN58-1,"")</f>
        <v>0.0284442021083242</v>
      </c>
      <c r="AM58" s="12" t="n">
        <f aca="false">IFERROR('원자료(월별지수)'!AP58/'원자료(월별지수)'!AO58-1,"")</f>
        <v>0.0607934965096757</v>
      </c>
      <c r="AN58" s="12" t="n">
        <f aca="false">IFERROR('원자료(월별지수)'!AQ58/'원자료(월별지수)'!AP58-1,"")</f>
        <v>0.0381507705122866</v>
      </c>
      <c r="AO58" s="12" t="n">
        <f aca="false">IFERROR('원자료(월별지수)'!AR58/'원자료(월별지수)'!AQ58-1,"")</f>
        <v>0.047259889272246</v>
      </c>
      <c r="AP58" s="12" t="n">
        <f aca="false">IFERROR('원자료(월별지수)'!AS58/'원자료(월별지수)'!AR58-1,"")</f>
        <v>-0.0256665645111861</v>
      </c>
      <c r="AQ58" s="12" t="n">
        <f aca="false">IFERROR('원자료(월별지수)'!AT58/'원자료(월별지수)'!AS58-1,"")</f>
        <v>-0.0363293229535269</v>
      </c>
      <c r="AR58" s="12" t="n">
        <f aca="false">IFERROR('원자료(월별지수)'!AU58/'원자료(월별지수)'!AT58-1,"")</f>
        <v>0.0107711138310893</v>
      </c>
      <c r="AS58" s="12" t="n">
        <f aca="false">IFERROR('원자료(월별지수)'!AV58/'원자료(월별지수)'!AU58-1,"")</f>
        <v>-0.0075886009526116</v>
      </c>
      <c r="AT58" s="12" t="n">
        <f aca="false">IFERROR('원자료(월별지수)'!AW58/'원자료(월별지수)'!AV58-1,"")</f>
        <v>-0.0752460750020336</v>
      </c>
      <c r="AU58" s="12" t="n">
        <f aca="false">IFERROR('원자료(월별지수)'!AX58/'원자료(월별지수)'!AW58-1,"")</f>
        <v>-0.0159218859957776</v>
      </c>
      <c r="AV58" s="12" t="n">
        <f aca="false">IFERROR('원자료(월별지수)'!AY58/'원자료(월별지수)'!AX58-1,"")</f>
        <v>0.0416554929829265</v>
      </c>
      <c r="AW58" s="12" t="n">
        <f aca="false">IFERROR('원자료(월별지수)'!AZ58/'원자료(월별지수)'!AY58-1,"")</f>
        <v>0.00549214794473518</v>
      </c>
      <c r="AX58" s="12" t="n">
        <f aca="false">IFERROR('원자료(월별지수)'!BA58/'원자료(월별지수)'!AZ58-1,"")</f>
        <v>-0.0198002901766664</v>
      </c>
      <c r="AY58" s="12" t="n">
        <f aca="false">IFERROR('원자료(월별지수)'!BB58/'원자료(월별지수)'!BA58-1,"")</f>
        <v>0.0189812799303439</v>
      </c>
      <c r="AZ58" s="12" t="n">
        <f aca="false">IFERROR('원자료(월별지수)'!BC58/'원자료(월별지수)'!BB58-1,"")</f>
        <v>0.000170896351362915</v>
      </c>
      <c r="BA58" s="12" t="n">
        <f aca="false">IFERROR('원자료(월별지수)'!BD58/'원자료(월별지수)'!BC58-1,"")</f>
        <v>-0.016403246475865</v>
      </c>
      <c r="BB58" s="12" t="n">
        <f aca="false">IFERROR('원자료(월별지수)'!BE58/'원자료(월별지수)'!BD58-1,"")</f>
        <v>-0.0208460001737166</v>
      </c>
      <c r="BC58" s="12" t="n">
        <f aca="false">IFERROR('원자료(월별지수)'!BF58/'원자료(월별지수)'!BE58-1,"")</f>
        <v>0.00727401756409107</v>
      </c>
      <c r="BD58" s="12" t="n">
        <f aca="false">IFERROR('원자료(월별지수)'!BG58/'원자료(월별지수)'!BF58-1,"")</f>
        <v>-0.0119771025979745</v>
      </c>
      <c r="BE58" s="12" t="n">
        <f aca="false">IFERROR('원자료(월별지수)'!BH58/'원자료(월별지수)'!BG58-1,"")</f>
        <v>0</v>
      </c>
      <c r="BF58" s="12" t="n">
        <f aca="false">IFERROR('원자료(월별지수)'!BI58/'원자료(월별지수)'!BH58-1,"")</f>
        <v>0.00294143863089391</v>
      </c>
      <c r="BG58" s="12" t="n">
        <f aca="false">IFERROR('원자료(월별지수)'!BJ58/'원자료(월별지수)'!BI58-1,"")</f>
        <v>0</v>
      </c>
      <c r="BH58" s="12" t="n">
        <f aca="false">IFERROR('원자료(월별지수)'!BK58/'원자료(월별지수)'!BJ58-1,"")</f>
        <v>0</v>
      </c>
      <c r="BI58" s="12" t="n">
        <f aca="false">IFERROR('원자료(월별지수)'!BL58/'원자료(월별지수)'!BK58-1,"")</f>
        <v>0</v>
      </c>
      <c r="BJ58" s="12" t="n">
        <f aca="false">IFERROR('원자료(월별지수)'!BM58/'원자료(월별지수)'!BL58-1,"")</f>
        <v>-0.197742623533594</v>
      </c>
      <c r="BK58" s="12" t="n">
        <f aca="false">IFERROR('원자료(월별지수)'!BN58/'원자료(월별지수)'!BM58-1,"")</f>
        <v>-0.00432037221668324</v>
      </c>
      <c r="BL58" s="12" t="n">
        <f aca="false">IFERROR('원자료(월별지수)'!BO58/'원자료(월별지수)'!BN58-1,"")</f>
        <v>0.0358255451713396</v>
      </c>
      <c r="BM58" s="12" t="n">
        <f aca="false">IFERROR('원자료(월별지수)'!BP58/'원자료(월별지수)'!BO58-1,"")</f>
        <v>-0.00386680988184751</v>
      </c>
      <c r="BN58" s="12" t="n">
        <f aca="false">IFERROR('원자료(월별지수)'!BQ58/'원자료(월별지수)'!BP58-1,"")</f>
        <v>0.00496010351520382</v>
      </c>
    </row>
    <row r="59" customFormat="false" ht="15" hidden="false" customHeight="false" outlineLevel="0" collapsed="false">
      <c r="A59" s="8" t="s">
        <v>146</v>
      </c>
      <c r="B59" s="9" t="s">
        <v>153</v>
      </c>
      <c r="C59" s="12" t="n">
        <f aca="false">IFERROR('원자료(월별지수)'!F59/'원자료(월별지수)'!E59-1,"")</f>
        <v>-0.0691740899593094</v>
      </c>
      <c r="D59" s="12" t="n">
        <f aca="false">IFERROR('원자료(월별지수)'!G59/'원자료(월별지수)'!F59-1,"")</f>
        <v>-0.0199669187145557</v>
      </c>
      <c r="E59" s="12" t="n">
        <f aca="false">IFERROR('원자료(월별지수)'!H59/'원자료(월별지수)'!G59-1,"")</f>
        <v>-0.00663050030138634</v>
      </c>
      <c r="F59" s="12" t="n">
        <f aca="false">IFERROR('원자료(월별지수)'!I59/'원자료(월별지수)'!H59-1,"")</f>
        <v>0.00424757281553401</v>
      </c>
      <c r="G59" s="12" t="n">
        <f aca="false">IFERROR('원자료(월별지수)'!J59/'원자료(월별지수)'!I59-1,"")</f>
        <v>0.0032628398791541</v>
      </c>
      <c r="H59" s="12" t="n">
        <f aca="false">IFERROR('원자료(월별지수)'!K59/'원자료(월별지수)'!J59-1,"")</f>
        <v>-0.0043363045049386</v>
      </c>
      <c r="I59" s="12" t="n">
        <f aca="false">IFERROR('원자료(월별지수)'!L59/'원자료(월별지수)'!K59-1,"")</f>
        <v>-0.00629082990563745</v>
      </c>
      <c r="J59" s="12" t="n">
        <f aca="false">IFERROR('원자료(월별지수)'!M59/'원자료(월별지수)'!L59-1,"")</f>
        <v>0.00998295592890175</v>
      </c>
      <c r="K59" s="12" t="n">
        <f aca="false">IFERROR('원자료(월별지수)'!N59/'원자료(월별지수)'!M59-1,"")</f>
        <v>0.00265188042430098</v>
      </c>
      <c r="L59" s="12" t="n">
        <f aca="false">IFERROR('원자료(월별지수)'!O59/'원자료(월별지수)'!N59-1,"")</f>
        <v>0</v>
      </c>
      <c r="M59" s="12" t="n">
        <f aca="false">IFERROR('원자료(월별지수)'!P59/'원자료(월별지수)'!O59-1,"")</f>
        <v>0.00456840586679475</v>
      </c>
      <c r="N59" s="12" t="n">
        <f aca="false">IFERROR('원자료(월별지수)'!Q59/'원자료(월별지수)'!P59-1,"")</f>
        <v>0.000239348970799469</v>
      </c>
      <c r="O59" s="12" t="n">
        <f aca="false">IFERROR('원자료(월별지수)'!R59/'원자료(월별지수)'!Q59-1,"")</f>
        <v>0.0108877721943048</v>
      </c>
      <c r="P59" s="12" t="n">
        <f aca="false">IFERROR('원자료(월별지수)'!S59/'원자료(월별지수)'!R59-1,"")</f>
        <v>0.0913717599715942</v>
      </c>
      <c r="Q59" s="12" t="n">
        <f aca="false">IFERROR('원자료(월별지수)'!T59/'원자료(월별지수)'!S59-1,"")</f>
        <v>0.101290532480208</v>
      </c>
      <c r="R59" s="12" t="n">
        <f aca="false">IFERROR('원자료(월별지수)'!U59/'원자료(월별지수)'!T59-1,"")</f>
        <v>0.0477597242737569</v>
      </c>
      <c r="S59" s="12" t="n">
        <f aca="false">IFERROR('원자료(월별지수)'!V59/'원자료(월별지수)'!U59-1,"")</f>
        <v>0.0143796992481202</v>
      </c>
      <c r="T59" s="12" t="n">
        <f aca="false">IFERROR('원자료(월별지수)'!W59/'원자료(월별지수)'!V59-1,"")</f>
        <v>-0.0105624015565644</v>
      </c>
      <c r="U59" s="12" t="n">
        <f aca="false">IFERROR('원자료(월별지수)'!X59/'원자료(월별지수)'!W59-1,"")</f>
        <v>-0.0498173986328309</v>
      </c>
      <c r="V59" s="12" t="n">
        <f aca="false">IFERROR('원자료(월별지수)'!Y59/'원자료(월별지수)'!X59-1,"")</f>
        <v>-0.0162609638316744</v>
      </c>
      <c r="W59" s="12" t="n">
        <f aca="false">IFERROR('원자료(월별지수)'!Z59/'원자료(월별지수)'!Y59-1,"")</f>
        <v>-0.0443798837908234</v>
      </c>
      <c r="X59" s="12" t="n">
        <f aca="false">IFERROR('원자료(월별지수)'!AA59/'원자료(월별지수)'!Z59-1,"")</f>
        <v>-0.00712862983541263</v>
      </c>
      <c r="Y59" s="12" t="n">
        <f aca="false">IFERROR('원자료(월별지수)'!AB59/'원자료(월별지수)'!AA59-1,"")</f>
        <v>0.0205891669306304</v>
      </c>
      <c r="Z59" s="12" t="n">
        <f aca="false">IFERROR('원자료(월별지수)'!AC59/'원자료(월별지수)'!AB59-1,"")</f>
        <v>0.0257603972687772</v>
      </c>
      <c r="AA59" s="12" t="n">
        <f aca="false">IFERROR('원자료(월별지수)'!AD59/'원자료(월별지수)'!AC59-1,"")</f>
        <v>-0.00948058497226434</v>
      </c>
      <c r="AB59" s="12" t="n">
        <f aca="false">IFERROR('원자료(월별지수)'!AE59/'원자료(월별지수)'!AD59-1,"")</f>
        <v>-0.0290194481213725</v>
      </c>
      <c r="AC59" s="12" t="n">
        <f aca="false">IFERROR('원자료(월별지수)'!AF59/'원자료(월별지수)'!AE59-1,"")</f>
        <v>0.0194001677852349</v>
      </c>
      <c r="AD59" s="12" t="n">
        <f aca="false">IFERROR('원자료(월별지수)'!AG59/'원자료(월별지수)'!AF59-1,"")</f>
        <v>0.0172821726159862</v>
      </c>
      <c r="AE59" s="12" t="n">
        <f aca="false">IFERROR('원자료(월별지수)'!AH59/'원자료(월별지수)'!AG59-1,"")</f>
        <v>0.00576398017999802</v>
      </c>
      <c r="AF59" s="12" t="n">
        <f aca="false">IFERROR('원자료(월별지수)'!AI59/'원자료(월별지수)'!AH59-1,"")</f>
        <v>-0.0202091292982103</v>
      </c>
      <c r="AG59" s="12" t="n">
        <f aca="false">IFERROR('원자료(월별지수)'!AJ59/'원자료(월별지수)'!AI59-1,"")</f>
        <v>-0.0113904566444331</v>
      </c>
      <c r="AH59" s="12" t="n">
        <f aca="false">IFERROR('원자료(월별지수)'!AK59/'원자료(월별지수)'!AJ59-1,"")</f>
        <v>-0.0375752543076604</v>
      </c>
      <c r="AI59" s="12" t="n">
        <f aca="false">IFERROR('원자료(월별지수)'!AL59/'원자료(월별지수)'!AK59-1,"")</f>
        <v>-0.0592105263157894</v>
      </c>
      <c r="AJ59" s="12" t="n">
        <f aca="false">IFERROR('원자료(월별지수)'!AM59/'원자료(월별지수)'!AL59-1,"")</f>
        <v>0.00389774160265954</v>
      </c>
      <c r="AK59" s="12" t="n">
        <f aca="false">IFERROR('원자료(월별지수)'!AN59/'원자료(월별지수)'!AM59-1,"")</f>
        <v>-0.0057097179399338</v>
      </c>
      <c r="AL59" s="12" t="n">
        <f aca="false">IFERROR('원자료(월별지수)'!AO59/'원자료(월별지수)'!AN59-1,"")</f>
        <v>0.00769495807970611</v>
      </c>
      <c r="AM59" s="12" t="n">
        <f aca="false">IFERROR('원자료(월별지수)'!AP59/'원자료(월별지수)'!AO59-1,"")</f>
        <v>0.0111693640300889</v>
      </c>
      <c r="AN59" s="12" t="n">
        <f aca="false">IFERROR('원자료(월별지수)'!AQ59/'원자료(월별지수)'!AP59-1,"")</f>
        <v>-0.036181244364292</v>
      </c>
      <c r="AO59" s="12" t="n">
        <f aca="false">IFERROR('원자료(월별지수)'!AR59/'원자료(월별지수)'!AQ59-1,"")</f>
        <v>0.00537948777920705</v>
      </c>
      <c r="AP59" s="12" t="n">
        <f aca="false">IFERROR('원자료(월별지수)'!AS59/'원자료(월별지수)'!AR59-1,"")</f>
        <v>-0.0116319646388275</v>
      </c>
      <c r="AQ59" s="12" t="n">
        <f aca="false">IFERROR('원자료(월별지수)'!AT59/'원자료(월별지수)'!AS59-1,"")</f>
        <v>-0.0155348946687065</v>
      </c>
      <c r="AR59" s="12" t="n">
        <f aca="false">IFERROR('원자료(월별지수)'!AU59/'원자료(월별지수)'!AT59-1,"")</f>
        <v>0.0350268977884041</v>
      </c>
      <c r="AS59" s="12" t="n">
        <f aca="false">IFERROR('원자료(월별지수)'!AV59/'원자료(월별지수)'!AU59-1,"")</f>
        <v>-0.00265650265650275</v>
      </c>
      <c r="AT59" s="12" t="n">
        <f aca="false">IFERROR('원자료(월별지수)'!AW59/'원자료(월별지수)'!AV59-1,"")</f>
        <v>-0.00764331210191083</v>
      </c>
      <c r="AU59" s="12" t="n">
        <f aca="false">IFERROR('원자료(월별지수)'!AX59/'원자료(월별지수)'!AW59-1,"")</f>
        <v>-0.0424787022989848</v>
      </c>
      <c r="AV59" s="12" t="n">
        <f aca="false">IFERROR('원자료(월별지수)'!AY59/'원자료(월별지수)'!AX59-1,"")</f>
        <v>-0.0270566727605118</v>
      </c>
      <c r="AW59" s="12" t="n">
        <f aca="false">IFERROR('원자료(월별지수)'!AZ59/'원자료(월별지수)'!AY59-1,"")</f>
        <v>0.00739070524865348</v>
      </c>
      <c r="AX59" s="12" t="n">
        <f aca="false">IFERROR('원자료(월별지수)'!BA59/'원자료(월별지수)'!AZ59-1,"")</f>
        <v>0.00149216612782888</v>
      </c>
      <c r="AY59" s="12" t="n">
        <f aca="false">IFERROR('원자료(월별지수)'!BB59/'원자료(월별지수)'!BA59-1,"")</f>
        <v>0.00422150484231421</v>
      </c>
      <c r="AZ59" s="12" t="n">
        <f aca="false">IFERROR('원자료(월별지수)'!BC59/'원자료(월별지수)'!BB59-1,"")</f>
        <v>-0.00754203758654792</v>
      </c>
      <c r="BA59" s="12" t="n">
        <f aca="false">IFERROR('원자료(월별지수)'!BD59/'원자료(월별지수)'!BC59-1,"")</f>
        <v>-0.0242930110875794</v>
      </c>
      <c r="BB59" s="12" t="n">
        <f aca="false">IFERROR('원자료(월별지수)'!BE59/'원자료(월별지수)'!BD59-1,"")</f>
        <v>-0.0107252298263533</v>
      </c>
      <c r="BC59" s="12" t="n">
        <f aca="false">IFERROR('원자료(월별지수)'!BF59/'원자료(월별지수)'!BE59-1,"")</f>
        <v>0.0221992772328343</v>
      </c>
      <c r="BD59" s="12" t="n">
        <f aca="false">IFERROR('원자료(월별지수)'!BG59/'원자료(월별지수)'!BF59-1,"")</f>
        <v>0.00896464646464645</v>
      </c>
      <c r="BE59" s="12" t="n">
        <f aca="false">IFERROR('원자료(월별지수)'!BH59/'원자료(월별지수)'!BG59-1,"")</f>
        <v>-0.00625703916906517</v>
      </c>
      <c r="BF59" s="12" t="n">
        <f aca="false">IFERROR('원자료(월별지수)'!BI59/'원자료(월별지수)'!BH59-1,"")</f>
        <v>-0.0105780128447299</v>
      </c>
      <c r="BG59" s="12" t="n">
        <f aca="false">IFERROR('원자료(월별지수)'!BJ59/'원자료(월별지수)'!BI59-1,"")</f>
        <v>0.00827287768868534</v>
      </c>
      <c r="BH59" s="12" t="n">
        <f aca="false">IFERROR('원자료(월별지수)'!BK59/'원자료(월별지수)'!BJ59-1,"")</f>
        <v>0.0493562231759657</v>
      </c>
      <c r="BI59" s="12" t="n">
        <f aca="false">IFERROR('원자료(월별지수)'!BL59/'원자료(월별지수)'!BK59-1,"")</f>
        <v>0.00312763142066652</v>
      </c>
      <c r="BJ59" s="12" t="n">
        <f aca="false">IFERROR('원자료(월별지수)'!BM59/'원자료(월별지수)'!BL59-1,"")</f>
        <v>0.000479673821801141</v>
      </c>
      <c r="BK59" s="12" t="n">
        <f aca="false">IFERROR('원자료(월별지수)'!BN59/'원자료(월별지수)'!BM59-1,"")</f>
        <v>-0.025290662831116</v>
      </c>
      <c r="BL59" s="12" t="n">
        <f aca="false">IFERROR('원자료(월별지수)'!BO59/'원자료(월별지수)'!BN59-1,"")</f>
        <v>-0.00676340383669449</v>
      </c>
      <c r="BM59" s="12" t="n">
        <f aca="false">IFERROR('원자료(월별지수)'!BP59/'원자료(월별지수)'!BO59-1,"")</f>
        <v>0.0191902934257768</v>
      </c>
      <c r="BN59" s="12" t="n">
        <f aca="false">IFERROR('원자료(월별지수)'!BQ59/'원자료(월별지수)'!BP59-1,"")</f>
        <v>0.0591593780369291</v>
      </c>
    </row>
    <row r="60" customFormat="false" ht="15" hidden="false" customHeight="false" outlineLevel="0" collapsed="false">
      <c r="A60" s="8" t="s">
        <v>146</v>
      </c>
      <c r="B60" s="9" t="s">
        <v>154</v>
      </c>
      <c r="C60" s="12" t="n">
        <f aca="false">IFERROR('원자료(월별지수)'!F60/'원자료(월별지수)'!E60-1,"")</f>
        <v>0</v>
      </c>
      <c r="D60" s="12" t="n">
        <f aca="false">IFERROR('원자료(월별지수)'!G60/'원자료(월별지수)'!F60-1,"")</f>
        <v>-0.00531754790809669</v>
      </c>
      <c r="E60" s="12" t="n">
        <f aca="false">IFERROR('원자료(월별지수)'!H60/'원자료(월별지수)'!G60-1,"")</f>
        <v>0.0145249142626589</v>
      </c>
      <c r="F60" s="12" t="n">
        <f aca="false">IFERROR('원자료(월별지수)'!I60/'원자료(월별지수)'!H60-1,"")</f>
        <v>0.00447405050705907</v>
      </c>
      <c r="G60" s="12" t="n">
        <f aca="false">IFERROR('원자료(월별지수)'!J60/'원자료(월별지수)'!I60-1,"")</f>
        <v>-0.0117786796001188</v>
      </c>
      <c r="H60" s="12" t="n">
        <f aca="false">IFERROR('원자료(월별지수)'!K60/'원자료(월별지수)'!J60-1,"")</f>
        <v>0.00811298076923084</v>
      </c>
      <c r="I60" s="12" t="n">
        <f aca="false">IFERROR('원자료(월별지수)'!L60/'원자료(월별지수)'!K60-1,"")</f>
        <v>0.0159960258320915</v>
      </c>
      <c r="J60" s="12" t="n">
        <f aca="false">IFERROR('원자료(월별지수)'!M60/'원자료(월별지수)'!L60-1,"")</f>
        <v>0.0133972227654997</v>
      </c>
      <c r="K60" s="12" t="n">
        <f aca="false">IFERROR('원자료(월별지수)'!N60/'원자료(월별지수)'!M60-1,"")</f>
        <v>0.00907073241339385</v>
      </c>
      <c r="L60" s="12" t="n">
        <f aca="false">IFERROR('원자료(월별지수)'!O60/'원자료(월별지수)'!N60-1,"")</f>
        <v>0.00870230467629352</v>
      </c>
      <c r="M60" s="12" t="n">
        <f aca="false">IFERROR('원자료(월별지수)'!P60/'원자료(월별지수)'!O60-1,"")</f>
        <v>0.00872203261281768</v>
      </c>
      <c r="N60" s="12" t="n">
        <f aca="false">IFERROR('원자료(월별지수)'!Q60/'원자료(월별지수)'!P60-1,"")</f>
        <v>-0.00592105263157905</v>
      </c>
      <c r="O60" s="12" t="n">
        <f aca="false">IFERROR('원자료(월별지수)'!R60/'원자료(월별지수)'!Q60-1,"")</f>
        <v>-0.0155998865462795</v>
      </c>
      <c r="P60" s="12" t="n">
        <f aca="false">IFERROR('원자료(월별지수)'!S60/'원자료(월별지수)'!R60-1,"")</f>
        <v>0.0124855935459085</v>
      </c>
      <c r="Q60" s="12" t="n">
        <f aca="false">IFERROR('원자료(월별지수)'!T60/'원자료(월별지수)'!S60-1,"")</f>
        <v>0.00967558338076269</v>
      </c>
      <c r="R60" s="12" t="n">
        <f aca="false">IFERROR('원자료(월별지수)'!U60/'원자료(월별지수)'!T60-1,"")</f>
        <v>0.037110108981586</v>
      </c>
      <c r="S60" s="12" t="n">
        <f aca="false">IFERROR('원자료(월별지수)'!V60/'원자료(월별지수)'!U60-1,"")</f>
        <v>0.0131352477579492</v>
      </c>
      <c r="T60" s="12" t="n">
        <f aca="false">IFERROR('원자료(월별지수)'!W60/'원자료(월별지수)'!V60-1,"")</f>
        <v>0.00107296137339041</v>
      </c>
      <c r="U60" s="12" t="n">
        <f aca="false">IFERROR('원자료(월별지수)'!X60/'원자료(월별지수)'!W60-1,"")</f>
        <v>0.00142908181493406</v>
      </c>
      <c r="V60" s="12" t="n">
        <f aca="false">IFERROR('원자료(월별지수)'!Y60/'원자료(월별지수)'!X60-1,"")</f>
        <v>0.00874063503389211</v>
      </c>
      <c r="W60" s="12" t="n">
        <f aca="false">IFERROR('원자료(월별지수)'!Z60/'원자료(월별지수)'!Y60-1,"")</f>
        <v>0</v>
      </c>
      <c r="X60" s="12" t="n">
        <f aca="false">IFERROR('원자료(월별지수)'!AA60/'원자료(월별지수)'!Z60-1,"")</f>
        <v>0</v>
      </c>
      <c r="Y60" s="12" t="n">
        <f aca="false">IFERROR('원자료(월별지수)'!AB60/'원자료(월별지수)'!AA60-1,"")</f>
        <v>0</v>
      </c>
      <c r="Z60" s="12" t="n">
        <f aca="false">IFERROR('원자료(월별지수)'!AC60/'원자료(월별지수)'!AB60-1,"")</f>
        <v>-0.00769230769230755</v>
      </c>
      <c r="AA60" s="12" t="n">
        <f aca="false">IFERROR('원자료(월별지수)'!AD60/'원자료(월별지수)'!AC60-1,"")</f>
        <v>-0.00115833556090184</v>
      </c>
      <c r="AB60" s="12" t="n">
        <f aca="false">IFERROR('원자료(월별지수)'!AE60/'원자료(월별지수)'!AD60-1,"")</f>
        <v>0.00178412132024985</v>
      </c>
      <c r="AC60" s="12" t="n">
        <f aca="false">IFERROR('원자료(월별지수)'!AF60/'원자료(월별지수)'!AE60-1,"")</f>
        <v>0</v>
      </c>
      <c r="AD60" s="12" t="n">
        <f aca="false">IFERROR('원자료(월별지수)'!AG60/'원자료(월별지수)'!AF60-1,"")</f>
        <v>0.00837043633125556</v>
      </c>
      <c r="AE60" s="12" t="n">
        <f aca="false">IFERROR('원자료(월별지수)'!AH60/'원자료(월별지수)'!AG60-1,"")</f>
        <v>0.0101554221123279</v>
      </c>
      <c r="AF60" s="12" t="n">
        <f aca="false">IFERROR('원자료(월별지수)'!AI60/'원자료(월별지수)'!AH60-1,"")</f>
        <v>-0.00271002710027102</v>
      </c>
      <c r="AG60" s="12" t="n">
        <f aca="false">IFERROR('원자료(월별지수)'!AJ60/'원자료(월별지수)'!AI60-1,"")</f>
        <v>-0.00482117812061711</v>
      </c>
      <c r="AH60" s="12" t="n">
        <f aca="false">IFERROR('원자료(월별지수)'!AK60/'원자료(월별지수)'!AJ60-1,"")</f>
        <v>0.00369946269708454</v>
      </c>
      <c r="AI60" s="12" t="n">
        <f aca="false">IFERROR('원자료(월별지수)'!AL60/'원자료(월별지수)'!AK60-1,"")</f>
        <v>0.00912681000438775</v>
      </c>
      <c r="AJ60" s="12" t="n">
        <f aca="false">IFERROR('원자료(월별지수)'!AM60/'원자료(월별지수)'!AL60-1,"")</f>
        <v>0</v>
      </c>
      <c r="AK60" s="12" t="n">
        <f aca="false">IFERROR('원자료(월별지수)'!AN60/'원자료(월별지수)'!AM60-1,"")</f>
        <v>0</v>
      </c>
      <c r="AL60" s="12" t="n">
        <f aca="false">IFERROR('원자료(월별지수)'!AO60/'원자료(월별지수)'!AN60-1,"")</f>
        <v>0.00521784503000267</v>
      </c>
      <c r="AM60" s="12" t="n">
        <f aca="false">IFERROR('원자료(월별지수)'!AP60/'원자료(월별지수)'!AO60-1,"")</f>
        <v>0.00787265334371479</v>
      </c>
      <c r="AN60" s="12" t="n">
        <f aca="false">IFERROR('원자료(월별지수)'!AQ60/'원자료(월별지수)'!AP60-1,"")</f>
        <v>0</v>
      </c>
      <c r="AO60" s="12" t="n">
        <f aca="false">IFERROR('원자료(월별지수)'!AR60/'원자료(월별지수)'!AQ60-1,"")</f>
        <v>0</v>
      </c>
      <c r="AP60" s="12" t="n">
        <f aca="false">IFERROR('원자료(월별지수)'!AS60/'원자료(월별지수)'!AR60-1,"")</f>
        <v>0</v>
      </c>
      <c r="AQ60" s="12" t="n">
        <f aca="false">IFERROR('원자료(월별지수)'!AT60/'원자료(월별지수)'!AS60-1,"")</f>
        <v>0</v>
      </c>
      <c r="AR60" s="12" t="n">
        <f aca="false">IFERROR('원자료(월별지수)'!AU60/'원자료(월별지수)'!AT60-1,"")</f>
        <v>-0.00746781115879835</v>
      </c>
      <c r="AS60" s="12" t="n">
        <f aca="false">IFERROR('원자료(월별지수)'!AV60/'원자료(월별지수)'!AU60-1,"")</f>
        <v>-0.00034593098676805</v>
      </c>
      <c r="AT60" s="12" t="n">
        <f aca="false">IFERROR('원자료(월별지수)'!AW60/'원자료(월별지수)'!AV60-1,"")</f>
        <v>0.00718055195086076</v>
      </c>
      <c r="AU60" s="12" t="n">
        <f aca="false">IFERROR('원자료(월별지수)'!AX60/'원자료(월별지수)'!AW60-1,"")</f>
        <v>0.00334993987287402</v>
      </c>
      <c r="AV60" s="12" t="n">
        <f aca="false">IFERROR('원자료(월별지수)'!AY60/'원자료(월별지수)'!AX60-1,"")</f>
        <v>0.000856091088091704</v>
      </c>
      <c r="AW60" s="12" t="n">
        <f aca="false">IFERROR('원자료(월별지수)'!AZ60/'원자료(월별지수)'!AY60-1,"")</f>
        <v>0</v>
      </c>
      <c r="AX60" s="12" t="n">
        <f aca="false">IFERROR('원자료(월별지수)'!BA60/'원자료(월별지수)'!AZ60-1,"")</f>
        <v>-0.00650072705499949</v>
      </c>
      <c r="AY60" s="12" t="n">
        <f aca="false">IFERROR('원자료(월별지수)'!BB60/'원자료(월별지수)'!BA60-1,"")</f>
        <v>0.0148084373654758</v>
      </c>
      <c r="AZ60" s="12" t="n">
        <f aca="false">IFERROR('원자료(월별지수)'!BC60/'원자료(월별지수)'!BB60-1,"")</f>
        <v>0.022312717400526</v>
      </c>
      <c r="BA60" s="12" t="n">
        <f aca="false">IFERROR('원자료(월별지수)'!BD60/'원자료(월별지수)'!BC60-1,"")</f>
        <v>0.0180082987551868</v>
      </c>
      <c r="BB60" s="12" t="n">
        <f aca="false">IFERROR('원자료(월별지수)'!BE60/'원자료(월별지수)'!BD60-1,"")</f>
        <v>0.00717371810548628</v>
      </c>
      <c r="BC60" s="12" t="n">
        <f aca="false">IFERROR('원자료(월별지수)'!BF60/'원자료(월별지수)'!BE60-1,"")</f>
        <v>0</v>
      </c>
      <c r="BD60" s="12" t="n">
        <f aca="false">IFERROR('원자료(월별지수)'!BG60/'원자료(월별지수)'!BF60-1,"")</f>
        <v>-0.0324564953460137</v>
      </c>
      <c r="BE60" s="12" t="n">
        <f aca="false">IFERROR('원자료(월별지수)'!BH60/'원자료(월별지수)'!BG60-1,"")</f>
        <v>0.0213317717918688</v>
      </c>
      <c r="BF60" s="12" t="n">
        <f aca="false">IFERROR('원자료(월별지수)'!BI60/'원자료(월별지수)'!BH60-1,"")</f>
        <v>0.00401343271357191</v>
      </c>
      <c r="BG60" s="12" t="n">
        <f aca="false">IFERROR('원자료(월별지수)'!BJ60/'원자료(월별지수)'!BI60-1,"")</f>
        <v>0.000163158753467174</v>
      </c>
      <c r="BH60" s="12" t="n">
        <f aca="false">IFERROR('원자료(월별지수)'!BK60/'원자료(월별지수)'!BJ60-1,"")</f>
        <v>0</v>
      </c>
      <c r="BI60" s="12" t="n">
        <f aca="false">IFERROR('원자료(월별지수)'!BL60/'원자료(월별지수)'!BK60-1,"")</f>
        <v>0.00848287112561175</v>
      </c>
      <c r="BJ60" s="12" t="n">
        <f aca="false">IFERROR('원자료(월별지수)'!BM60/'원자료(월별지수)'!BL60-1,"")</f>
        <v>0.00711743772241991</v>
      </c>
      <c r="BK60" s="12" t="n">
        <f aca="false">IFERROR('원자료(월별지수)'!BN60/'원자료(월별지수)'!BM60-1,"")</f>
        <v>0.0118856408609058</v>
      </c>
      <c r="BL60" s="12" t="n">
        <f aca="false">IFERROR('원자료(월별지수)'!BO60/'원자료(월별지수)'!BN60-1,"")</f>
        <v>0.00539682539682551</v>
      </c>
      <c r="BM60" s="12" t="n">
        <f aca="false">IFERROR('원자료(월별지수)'!BP60/'원자료(월별지수)'!BO60-1,"")</f>
        <v>0.00607830754657401</v>
      </c>
      <c r="BN60" s="12" t="n">
        <f aca="false">IFERROR('원자료(월별지수)'!BQ60/'원자료(월별지수)'!BP60-1,"")</f>
        <v>-0.00188309140839549</v>
      </c>
    </row>
    <row r="61" customFormat="false" ht="15" hidden="false" customHeight="false" outlineLevel="0" collapsed="false">
      <c r="A61" s="8" t="s">
        <v>146</v>
      </c>
      <c r="B61" s="9" t="s">
        <v>155</v>
      </c>
      <c r="C61" s="12" t="n">
        <f aca="false">IFERROR('원자료(월별지수)'!F61/'원자료(월별지수)'!E61-1,"")</f>
        <v>0</v>
      </c>
      <c r="D61" s="12" t="n">
        <f aca="false">IFERROR('원자료(월별지수)'!G61/'원자료(월별지수)'!F61-1,"")</f>
        <v>-0.0211017325633053</v>
      </c>
      <c r="E61" s="12" t="n">
        <f aca="false">IFERROR('원자료(월별지수)'!H61/'원자료(월별지수)'!G61-1,"")</f>
        <v>-0.0191740412979351</v>
      </c>
      <c r="F61" s="12" t="n">
        <f aca="false">IFERROR('원자료(월별지수)'!I61/'원자료(월별지수)'!H61-1,"")</f>
        <v>-0.00185078079814915</v>
      </c>
      <c r="G61" s="12" t="n">
        <f aca="false">IFERROR('원자료(월별지수)'!J61/'원자료(월별지수)'!I61-1,"")</f>
        <v>0</v>
      </c>
      <c r="H61" s="12" t="n">
        <f aca="false">IFERROR('원자료(월별지수)'!K61/'원자료(월별지수)'!J61-1,"")</f>
        <v>-0.133966855950863</v>
      </c>
      <c r="I61" s="12" t="n">
        <f aca="false">IFERROR('원자료(월별지수)'!L61/'원자료(월별지수)'!K61-1,"")</f>
        <v>-0.097952629466078</v>
      </c>
      <c r="J61" s="12" t="n">
        <f aca="false">IFERROR('원자료(월별지수)'!M61/'원자료(월별지수)'!L61-1,"")</f>
        <v>-0.00771398902240017</v>
      </c>
      <c r="K61" s="12" t="n">
        <f aca="false">IFERROR('원자료(월별지수)'!N61/'원자료(월별지수)'!M61-1,"")</f>
        <v>-0.00134549259979078</v>
      </c>
      <c r="L61" s="12" t="n">
        <f aca="false">IFERROR('원자료(월별지수)'!O61/'원자료(월별지수)'!N61-1,"")</f>
        <v>0.012125748502994</v>
      </c>
      <c r="M61" s="12" t="n">
        <f aca="false">IFERROR('원자료(월별지수)'!P61/'원자료(월별지수)'!O61-1,"")</f>
        <v>0.0329832864960806</v>
      </c>
      <c r="N61" s="12" t="n">
        <f aca="false">IFERROR('원자료(월별지수)'!Q61/'원자료(월별지수)'!P61-1,"")</f>
        <v>0.0538373424971361</v>
      </c>
      <c r="O61" s="12" t="n">
        <f aca="false">IFERROR('원자료(월별지수)'!R61/'원자료(월별지수)'!Q61-1,"")</f>
        <v>0.0330163043478262</v>
      </c>
      <c r="P61" s="12" t="n">
        <f aca="false">IFERROR('원자료(월별지수)'!S61/'원자료(월별지수)'!R61-1,"")</f>
        <v>-0.000657635144022062</v>
      </c>
      <c r="Q61" s="12" t="n">
        <f aca="false">IFERROR('원자료(월별지수)'!T61/'원자료(월별지수)'!S61-1,"")</f>
        <v>0.00381679389312972</v>
      </c>
      <c r="R61" s="12" t="n">
        <f aca="false">IFERROR('원자료(월별지수)'!U61/'원자료(월별지수)'!T61-1,"")</f>
        <v>0.000524452602596037</v>
      </c>
      <c r="S61" s="12" t="n">
        <f aca="false">IFERROR('원자료(월별지수)'!V61/'원자료(월별지수)'!U61-1,"")</f>
        <v>0.0256847071157122</v>
      </c>
      <c r="T61" s="12" t="n">
        <f aca="false">IFERROR('원자료(월별지수)'!W61/'원자료(월별지수)'!V61-1,"")</f>
        <v>0.0588986840424173</v>
      </c>
      <c r="U61" s="12" t="n">
        <f aca="false">IFERROR('원자료(월별지수)'!X61/'원자료(월별지수)'!W61-1,"")</f>
        <v>0.0752895752895755</v>
      </c>
      <c r="V61" s="12" t="n">
        <f aca="false">IFERROR('원자료(월별지수)'!Y61/'원자료(월별지수)'!X61-1,"")</f>
        <v>0.0819120287253141</v>
      </c>
      <c r="W61" s="12" t="n">
        <f aca="false">IFERROR('원자료(월별지수)'!Z61/'원자료(월별지수)'!Y61-1,"")</f>
        <v>0.0174237710018668</v>
      </c>
      <c r="X61" s="12" t="n">
        <f aca="false">IFERROR('원자료(월별지수)'!AA61/'원자료(월별지수)'!Z61-1,"")</f>
        <v>0.0442405708460756</v>
      </c>
      <c r="Y61" s="12" t="n">
        <f aca="false">IFERROR('원자료(월별지수)'!AB61/'원자료(월별지수)'!AA61-1,"")</f>
        <v>0.0039047247169075</v>
      </c>
      <c r="Z61" s="12" t="n">
        <f aca="false">IFERROR('원자료(월별지수)'!AC61/'원자료(월별지수)'!AB61-1,"")</f>
        <v>-0.00418125243096079</v>
      </c>
      <c r="AA61" s="12" t="n">
        <f aca="false">IFERROR('원자료(월별지수)'!AD61/'원자료(월별지수)'!AC61-1,"")</f>
        <v>-0.0134752465579533</v>
      </c>
      <c r="AB61" s="12" t="n">
        <f aca="false">IFERROR('원자료(월별지수)'!AE61/'원자료(월별지수)'!AD61-1,"")</f>
        <v>0.00376125903197067</v>
      </c>
      <c r="AC61" s="12" t="n">
        <f aca="false">IFERROR('원자료(월별지수)'!AF61/'원자료(월별지수)'!AE61-1,"")</f>
        <v>-0.00285967853268898</v>
      </c>
      <c r="AD61" s="12" t="n">
        <f aca="false">IFERROR('원자료(월별지수)'!AG61/'원자료(월별지수)'!AF61-1,"")</f>
        <v>0.00385680379746844</v>
      </c>
      <c r="AE61" s="12" t="n">
        <f aca="false">IFERROR('원자료(월별지수)'!AH61/'원자료(월별지수)'!AG61-1,"")</f>
        <v>0.00857058417889856</v>
      </c>
      <c r="AF61" s="12" t="n">
        <f aca="false">IFERROR('원자료(월별지수)'!AI61/'원자료(월별지수)'!AH61-1,"")</f>
        <v>9.76753272123876E-005</v>
      </c>
      <c r="AG61" s="12" t="n">
        <f aca="false">IFERROR('원자료(월별지수)'!AJ61/'원자료(월별지수)'!AI61-1,"")</f>
        <v>-0.00566461568512544</v>
      </c>
      <c r="AH61" s="12" t="n">
        <f aca="false">IFERROR('원자료(월별지수)'!AK61/'원자료(월별지수)'!AJ61-1,"")</f>
        <v>0.0128671053923977</v>
      </c>
      <c r="AI61" s="12" t="n">
        <f aca="false">IFERROR('원자료(월별지수)'!AL61/'원자료(월별지수)'!AK61-1,"")</f>
        <v>0.035589604344453</v>
      </c>
      <c r="AJ61" s="12" t="n">
        <f aca="false">IFERROR('원자료(월별지수)'!AM61/'원자료(월별지수)'!AL61-1,"")</f>
        <v>0.00140462590130164</v>
      </c>
      <c r="AK61" s="12" t="n">
        <f aca="false">IFERROR('원자료(월별지수)'!AN61/'원자료(월별지수)'!AM61-1,"")</f>
        <v>-0.0205722835234712</v>
      </c>
      <c r="AL61" s="12" t="n">
        <f aca="false">IFERROR('원자료(월별지수)'!AO61/'원자료(월별지수)'!AN61-1,"")</f>
        <v>-0.0232957800267328</v>
      </c>
      <c r="AM61" s="12" t="n">
        <f aca="false">IFERROR('원자료(월별지수)'!AP61/'원자료(월별지수)'!AO61-1,"")</f>
        <v>-0.0164222873900293</v>
      </c>
      <c r="AN61" s="12" t="n">
        <f aca="false">IFERROR('원자료(월별지수)'!AQ61/'원자료(월별지수)'!AP61-1,"")</f>
        <v>-0.00636056450009936</v>
      </c>
      <c r="AO61" s="12" t="n">
        <f aca="false">IFERROR('원자료(월별지수)'!AR61/'원자료(월별지수)'!AQ61-1,"")</f>
        <v>0</v>
      </c>
      <c r="AP61" s="12" t="n">
        <f aca="false">IFERROR('원자료(월별지수)'!AS61/'원자료(월별지수)'!AR61-1,"")</f>
        <v>0</v>
      </c>
      <c r="AQ61" s="12" t="n">
        <f aca="false">IFERROR('원자료(월별지수)'!AT61/'원자료(월별지수)'!AS61-1,"")</f>
        <v>0</v>
      </c>
      <c r="AR61" s="12" t="n">
        <f aca="false">IFERROR('원자료(월별지수)'!AU61/'원자료(월별지수)'!AT61-1,"")</f>
        <v>-0.0278055611122224</v>
      </c>
      <c r="AS61" s="12" t="n">
        <f aca="false">IFERROR('원자료(월별지수)'!AV61/'원자료(월별지수)'!AU61-1,"")</f>
        <v>-0.0251028806584362</v>
      </c>
      <c r="AT61" s="12" t="n">
        <f aca="false">IFERROR('원자료(월별지수)'!AW61/'원자료(월별지수)'!AV61-1,"")</f>
        <v>-0.0243773744195863</v>
      </c>
      <c r="AU61" s="12" t="n">
        <f aca="false">IFERROR('원자료(월별지수)'!AX61/'원자료(월별지수)'!AW61-1,"")</f>
        <v>0.00789616008653327</v>
      </c>
      <c r="AV61" s="12" t="n">
        <f aca="false">IFERROR('원자료(월별지수)'!AY61/'원자료(월별지수)'!AX61-1,"")</f>
        <v>-0.0050440008585535</v>
      </c>
      <c r="AW61" s="12" t="n">
        <f aca="false">IFERROR('원자료(월별지수)'!AZ61/'원자료(월별지수)'!AY61-1,"")</f>
        <v>-0.00949196418940779</v>
      </c>
      <c r="AX61" s="12" t="n">
        <f aca="false">IFERROR('원자료(월별지수)'!BA61/'원자료(월별지수)'!AZ61-1,"")</f>
        <v>0.00588043123162363</v>
      </c>
      <c r="AY61" s="12" t="n">
        <f aca="false">IFERROR('원자료(월별지수)'!BB61/'원자료(월별지수)'!BA61-1,"")</f>
        <v>-0.00801125906679667</v>
      </c>
      <c r="AZ61" s="12" t="n">
        <f aca="false">IFERROR('원자료(월별지수)'!BC61/'원자료(월별지수)'!BB61-1,"")</f>
        <v>-0.0175706646294882</v>
      </c>
      <c r="BA61" s="12" t="n">
        <f aca="false">IFERROR('원자료(월별지수)'!BD61/'원자료(월별지수)'!BC61-1,"")</f>
        <v>-0.0322150633192623</v>
      </c>
      <c r="BB61" s="12" t="n">
        <f aca="false">IFERROR('원자료(월별지수)'!BE61/'원자료(월별지수)'!BD61-1,"")</f>
        <v>-0.0381083562901745</v>
      </c>
      <c r="BC61" s="12" t="n">
        <f aca="false">IFERROR('원자료(월별지수)'!BF61/'원자료(월별지수)'!BE61-1,"")</f>
        <v>0.0109785202863961</v>
      </c>
      <c r="BD61" s="12" t="n">
        <f aca="false">IFERROR('원자료(월별지수)'!BG61/'원자료(월별지수)'!BF61-1,"")</f>
        <v>0.0567752596789424</v>
      </c>
      <c r="BE61" s="12" t="n">
        <f aca="false">IFERROR('원자료(월별지수)'!BH61/'원자료(월별지수)'!BG61-1,"")</f>
        <v>-0.0153021333631186</v>
      </c>
      <c r="BF61" s="12" t="n">
        <f aca="false">IFERROR('원자료(월별지수)'!BI61/'원자료(월별지수)'!BH61-1,"")</f>
        <v>-0.0210980036297641</v>
      </c>
      <c r="BG61" s="12" t="n">
        <f aca="false">IFERROR('원자료(월별지수)'!BJ61/'원자료(월별지수)'!BI61-1,"")</f>
        <v>-0.0320973348783313</v>
      </c>
      <c r="BH61" s="12" t="n">
        <f aca="false">IFERROR('원자료(월별지수)'!BK61/'원자료(월별지수)'!BJ61-1,"")</f>
        <v>0.0677600861965761</v>
      </c>
      <c r="BI61" s="12" t="n">
        <f aca="false">IFERROR('원자료(월별지수)'!BL61/'원자료(월별지수)'!BK61-1,"")</f>
        <v>-0.0226482789550397</v>
      </c>
      <c r="BJ61" s="12" t="n">
        <f aca="false">IFERROR('원자료(월별지수)'!BM61/'원자료(월별지수)'!BL61-1,"")</f>
        <v>-0.0281059997705633</v>
      </c>
      <c r="BK61" s="12" t="n">
        <f aca="false">IFERROR('원자료(월별지수)'!BN61/'원자료(월별지수)'!BM61-1,"")</f>
        <v>0.0174693106704438</v>
      </c>
      <c r="BL61" s="12" t="n">
        <f aca="false">IFERROR('원자료(월별지수)'!BO61/'원자료(월별지수)'!BN61-1,"")</f>
        <v>0.0149651972157772</v>
      </c>
      <c r="BM61" s="12" t="n">
        <f aca="false">IFERROR('원자료(월별지수)'!BP61/'원자료(월별지수)'!BO61-1,"")</f>
        <v>-0.000228597554006171</v>
      </c>
      <c r="BN61" s="12" t="n">
        <f aca="false">IFERROR('원자료(월별지수)'!BQ61/'원자료(월별지수)'!BP61-1,"")</f>
        <v>-0.0130330398993941</v>
      </c>
    </row>
    <row r="62" customFormat="false" ht="15" hidden="false" customHeight="false" outlineLevel="0" collapsed="false">
      <c r="A62" s="8" t="s">
        <v>146</v>
      </c>
      <c r="B62" s="9" t="s">
        <v>156</v>
      </c>
      <c r="C62" s="12" t="n">
        <f aca="false">IFERROR('원자료(월별지수)'!F62/'원자료(월별지수)'!E62-1,"")</f>
        <v>0</v>
      </c>
      <c r="D62" s="12" t="n">
        <f aca="false">IFERROR('원자료(월별지수)'!G62/'원자료(월별지수)'!F62-1,"")</f>
        <v>0.00269919024292697</v>
      </c>
      <c r="E62" s="12" t="n">
        <f aca="false">IFERROR('원자료(월별지수)'!H62/'원자료(월별지수)'!G62-1,"")</f>
        <v>0.0197407776669991</v>
      </c>
      <c r="F62" s="12" t="n">
        <f aca="false">IFERROR('원자료(월별지수)'!I62/'원자료(월별지수)'!H62-1,"")</f>
        <v>0.00400860383261636</v>
      </c>
      <c r="G62" s="12" t="n">
        <f aca="false">IFERROR('원자료(월별지수)'!J62/'원자료(월별지수)'!I62-1,"")</f>
        <v>-0.0121725581848281</v>
      </c>
      <c r="H62" s="12" t="n">
        <f aca="false">IFERROR('원자료(월별지수)'!K62/'원자료(월별지수)'!J62-1,"")</f>
        <v>0</v>
      </c>
      <c r="I62" s="12" t="n">
        <f aca="false">IFERROR('원자료(월별지수)'!L62/'원자료(월별지수)'!K62-1,"")</f>
        <v>0</v>
      </c>
      <c r="J62" s="12" t="n">
        <f aca="false">IFERROR('원자료(월별지수)'!M62/'원자료(월별지수)'!L62-1,"")</f>
        <v>0</v>
      </c>
      <c r="K62" s="12" t="n">
        <f aca="false">IFERROR('원자료(월별지수)'!N62/'원자료(월별지수)'!M62-1,"")</f>
        <v>-0.0208990536277603</v>
      </c>
      <c r="L62" s="12" t="n">
        <f aca="false">IFERROR('원자료(월별지수)'!O62/'원자료(월별지수)'!N62-1,"")</f>
        <v>-0.011175996778091</v>
      </c>
      <c r="M62" s="12" t="n">
        <f aca="false">IFERROR('원자료(월별지수)'!P62/'원자료(월별지수)'!O62-1,"")</f>
        <v>-0.00631300274921076</v>
      </c>
      <c r="N62" s="12" t="n">
        <f aca="false">IFERROR('원자료(월별지수)'!Q62/'원자료(월별지수)'!P62-1,"")</f>
        <v>0.0106568295931959</v>
      </c>
      <c r="O62" s="12" t="n">
        <f aca="false">IFERROR('원자료(월별지수)'!R62/'원자료(월별지수)'!Q62-1,"")</f>
        <v>0.00628611984183314</v>
      </c>
      <c r="P62" s="12" t="n">
        <f aca="false">IFERROR('원자료(월별지수)'!S62/'원자료(월별지수)'!R62-1,"")</f>
        <v>0.00171284634760704</v>
      </c>
      <c r="Q62" s="12" t="n">
        <f aca="false">IFERROR('원자료(월별지수)'!T62/'원자료(월별지수)'!S62-1,"")</f>
        <v>0.000402333534500032</v>
      </c>
      <c r="R62" s="12" t="n">
        <f aca="false">IFERROR('원자료(월별지수)'!U62/'원자료(월별지수)'!T62-1,"")</f>
        <v>0.0204102151618741</v>
      </c>
      <c r="S62" s="12" t="n">
        <f aca="false">IFERROR('원자료(월별지수)'!V62/'원자료(월별지수)'!U62-1,"")</f>
        <v>0.0349788156468618</v>
      </c>
      <c r="T62" s="12" t="n">
        <f aca="false">IFERROR('원자료(월별지수)'!W62/'원자료(월별지수)'!V62-1,"")</f>
        <v>0</v>
      </c>
      <c r="U62" s="12" t="n">
        <f aca="false">IFERROR('원자료(월별지수)'!X62/'원자료(월별지수)'!W62-1,"")</f>
        <v>0.000571210967250435</v>
      </c>
      <c r="V62" s="12" t="n">
        <f aca="false">IFERROR('원자료(월별지수)'!Y62/'원자료(월별지수)'!X62-1,"")</f>
        <v>0.00437678401522357</v>
      </c>
      <c r="W62" s="12" t="n">
        <f aca="false">IFERROR('원자료(월별지수)'!Z62/'원자료(월별지수)'!Y62-1,"")</f>
        <v>-0.0150625236832134</v>
      </c>
      <c r="X62" s="12" t="n">
        <f aca="false">IFERROR('원자료(월별지수)'!AA62/'원자료(월별지수)'!Z62-1,"")</f>
        <v>-0.0031739924978359</v>
      </c>
      <c r="Y62" s="12" t="n">
        <f aca="false">IFERROR('원자료(월별지수)'!AB62/'원자료(월별지수)'!AA62-1,"")</f>
        <v>0.0140872250096487</v>
      </c>
      <c r="Z62" s="12" t="n">
        <f aca="false">IFERROR('원자료(월별지수)'!AC62/'원자료(월별지수)'!AB62-1,"")</f>
        <v>0.01883920076118</v>
      </c>
      <c r="AA62" s="12" t="n">
        <f aca="false">IFERROR('원자료(월별지수)'!AD62/'원자료(월별지수)'!AC62-1,"")</f>
        <v>0.00270825550989917</v>
      </c>
      <c r="AB62" s="12" t="n">
        <f aca="false">IFERROR('원자료(월별지수)'!AE62/'원자료(월별지수)'!AD62-1,"")</f>
        <v>0.0029803483282107</v>
      </c>
      <c r="AC62" s="12" t="n">
        <f aca="false">IFERROR('원자료(월별지수)'!AF62/'원자료(월별지수)'!AE62-1,"")</f>
        <v>0.00102145045965263</v>
      </c>
      <c r="AD62" s="12" t="n">
        <f aca="false">IFERROR('원자료(월별지수)'!AG62/'원자료(월별지수)'!AF62-1,"")</f>
        <v>0.00315398886827456</v>
      </c>
      <c r="AE62" s="12" t="n">
        <f aca="false">IFERROR('원자료(월별지수)'!AH62/'원자료(월별지수)'!AG62-1,"")</f>
        <v>0.00166450896985393</v>
      </c>
      <c r="AF62" s="12" t="n">
        <f aca="false">IFERROR('원자료(월별지수)'!AI62/'원자료(월별지수)'!AH62-1,"")</f>
        <v>0.0108013293943869</v>
      </c>
      <c r="AG62" s="12" t="n">
        <f aca="false">IFERROR('원자료(월별지수)'!AJ62/'원자료(월별지수)'!AI62-1,"")</f>
        <v>0.0123298931409261</v>
      </c>
      <c r="AH62" s="12" t="n">
        <f aca="false">IFERROR('원자료(월별지수)'!AK62/'원자료(월별지수)'!AJ62-1,"")</f>
        <v>-0.00297726452544211</v>
      </c>
      <c r="AI62" s="12" t="n">
        <f aca="false">IFERROR('원자료(월별지수)'!AL62/'원자료(월별지수)'!AK62-1,"")</f>
        <v>0.00886797574880083</v>
      </c>
      <c r="AJ62" s="12" t="n">
        <f aca="false">IFERROR('원자료(월별지수)'!AM62/'원자료(월별지수)'!AL62-1,"")</f>
        <v>0.011570544443448</v>
      </c>
      <c r="AK62" s="12" t="n">
        <f aca="false">IFERROR('원자료(월별지수)'!AN62/'원자료(월별지수)'!AM62-1,"")</f>
        <v>0.00718212449015776</v>
      </c>
      <c r="AL62" s="12" t="n">
        <f aca="false">IFERROR('원자료(월별지수)'!AO62/'원자료(월별지수)'!AN62-1,"")</f>
        <v>0.00246500572233477</v>
      </c>
      <c r="AM62" s="12" t="n">
        <f aca="false">IFERROR('원자료(월별지수)'!AP62/'원자료(월별지수)'!AO62-1,"")</f>
        <v>0.00641081935540511</v>
      </c>
      <c r="AN62" s="12" t="n">
        <f aca="false">IFERROR('원자료(월별지수)'!AQ62/'원자료(월별지수)'!AP62-1,"")</f>
        <v>0</v>
      </c>
      <c r="AO62" s="12" t="n">
        <f aca="false">IFERROR('원자료(월별지수)'!AR62/'원자료(월별지수)'!AQ62-1,"")</f>
        <v>0</v>
      </c>
      <c r="AP62" s="12" t="n">
        <f aca="false">IFERROR('원자료(월별지수)'!AS62/'원자료(월별지수)'!AR62-1,"")</f>
        <v>0</v>
      </c>
      <c r="AQ62" s="12" t="n">
        <f aca="false">IFERROR('원자료(월별지수)'!AT62/'원자료(월별지수)'!AS62-1,"")</f>
        <v>0</v>
      </c>
      <c r="AR62" s="12" t="n">
        <f aca="false">IFERROR('원자료(월별지수)'!AU62/'원자료(월별지수)'!AT62-1,"")</f>
        <v>0.00479930191972078</v>
      </c>
      <c r="AS62" s="12" t="n">
        <f aca="false">IFERROR('원자료(월별지수)'!AV62/'원자료(월별지수)'!AU62-1,"")</f>
        <v>0.000955275727312133</v>
      </c>
      <c r="AT62" s="12" t="n">
        <f aca="false">IFERROR('원자료(월별지수)'!AW62/'원자료(월별지수)'!AV62-1,"")</f>
        <v>-0.0215165712302621</v>
      </c>
      <c r="AU62" s="12" t="n">
        <f aca="false">IFERROR('원자료(월별지수)'!AX62/'원자료(월별지수)'!AW62-1,"")</f>
        <v>0.00487675119702069</v>
      </c>
      <c r="AV62" s="12" t="n">
        <f aca="false">IFERROR('원자료(월별지수)'!AY62/'원자료(월별지수)'!AX62-1,"")</f>
        <v>0.0072355069266743</v>
      </c>
      <c r="AW62" s="12" t="n">
        <f aca="false">IFERROR('원자료(월별지수)'!AZ62/'원자료(월별지수)'!AY62-1,"")</f>
        <v>0.0177836180464301</v>
      </c>
      <c r="AX62" s="12" t="n">
        <f aca="false">IFERROR('원자료(월별지수)'!BA62/'원자료(월별지수)'!AZ62-1,"")</f>
        <v>0.0430366672404889</v>
      </c>
      <c r="AY62" s="12" t="n">
        <f aca="false">IFERROR('원자료(월별지수)'!BB62/'원자료(월별지수)'!BA62-1,"")</f>
        <v>-0.000742696814655885</v>
      </c>
      <c r="AZ62" s="12" t="n">
        <f aca="false">IFERROR('원자료(월별지수)'!BC62/'원자료(월별지수)'!BB62-1,"")</f>
        <v>0.0450078454042449</v>
      </c>
      <c r="BA62" s="12" t="n">
        <f aca="false">IFERROR('원자료(월별지수)'!BD62/'원자료(월별지수)'!BC62-1,"")</f>
        <v>0.0218112849691798</v>
      </c>
      <c r="BB62" s="12" t="n">
        <f aca="false">IFERROR('원자료(월별지수)'!BE62/'원자료(월별지수)'!BD62-1,"")</f>
        <v>0.00518174787316306</v>
      </c>
      <c r="BC62" s="12" t="n">
        <f aca="false">IFERROR('원자료(월별지수)'!BF62/'원자료(월별지수)'!BE62-1,"")</f>
        <v>-0.0106947757174731</v>
      </c>
      <c r="BD62" s="12" t="n">
        <f aca="false">IFERROR('원자료(월별지수)'!BG62/'원자료(월별지수)'!BF62-1,"")</f>
        <v>-0.00497744594804805</v>
      </c>
      <c r="BE62" s="12" t="n">
        <f aca="false">IFERROR('원자료(월별지수)'!BH62/'원자료(월별지수)'!BG62-1,"")</f>
        <v>-0.0221197436298265</v>
      </c>
      <c r="BF62" s="12" t="n">
        <f aca="false">IFERROR('원자료(월별지수)'!BI62/'원자료(월별지수)'!BH62-1,"")</f>
        <v>0.0199824154743826</v>
      </c>
      <c r="BG62" s="12" t="n">
        <f aca="false">IFERROR('원자료(월별지수)'!BJ62/'원자료(월별지수)'!BI62-1,"")</f>
        <v>0.0152025703314789</v>
      </c>
      <c r="BH62" s="12" t="n">
        <f aca="false">IFERROR('원자료(월별지수)'!BK62/'원자료(월별지수)'!BJ62-1,"")</f>
        <v>-0.0182169046700117</v>
      </c>
      <c r="BI62" s="12" t="n">
        <f aca="false">IFERROR('원자료(월별지수)'!BL62/'원자료(월별지수)'!BK62-1,"")</f>
        <v>-0.000628980265744095</v>
      </c>
      <c r="BJ62" s="12" t="n">
        <f aca="false">IFERROR('원자료(월별지수)'!BM62/'원자료(월별지수)'!BL62-1,"")</f>
        <v>0.0265124695145935</v>
      </c>
      <c r="BK62" s="12" t="n">
        <f aca="false">IFERROR('원자료(월별지수)'!BN62/'원자료(월별지수)'!BM62-1,"")</f>
        <v>0.00245248313917856</v>
      </c>
      <c r="BL62" s="12" t="n">
        <f aca="false">IFERROR('원자료(월별지수)'!BO62/'원자료(월별지수)'!BN62-1,"")</f>
        <v>0.00305810397553508</v>
      </c>
      <c r="BM62" s="12" t="n">
        <f aca="false">IFERROR('원자료(월별지수)'!BP62/'원자료(월별지수)'!BO62-1,"")</f>
        <v>-0.000152439024390105</v>
      </c>
      <c r="BN62" s="12" t="n">
        <f aca="false">IFERROR('원자료(월별지수)'!BQ62/'원자료(월별지수)'!BP62-1,"")</f>
        <v>0.0098338161305076</v>
      </c>
    </row>
    <row r="63" customFormat="false" ht="15" hidden="false" customHeight="false" outlineLevel="0" collapsed="false">
      <c r="A63" s="8" t="s">
        <v>146</v>
      </c>
      <c r="B63" s="9" t="s">
        <v>157</v>
      </c>
      <c r="C63" s="12" t="n">
        <f aca="false">IFERROR('원자료(월별지수)'!F63/'원자료(월별지수)'!E63-1,"")</f>
        <v>0</v>
      </c>
      <c r="D63" s="12" t="n">
        <f aca="false">IFERROR('원자료(월별지수)'!G63/'원자료(월별지수)'!F63-1,"")</f>
        <v>-0.0022195318805488</v>
      </c>
      <c r="E63" s="12" t="n">
        <f aca="false">IFERROR('원자료(월별지수)'!H63/'원자료(월별지수)'!G63-1,"")</f>
        <v>-0.00586450960566243</v>
      </c>
      <c r="F63" s="12" t="n">
        <f aca="false">IFERROR('원자료(월별지수)'!I63/'원자료(월별지수)'!H63-1,"")</f>
        <v>0</v>
      </c>
      <c r="G63" s="12" t="n">
        <f aca="false">IFERROR('원자료(월별지수)'!J63/'원자료(월별지수)'!I63-1,"")</f>
        <v>-0.00772986167615941</v>
      </c>
      <c r="H63" s="12" t="n">
        <f aca="false">IFERROR('원자료(월별지수)'!K63/'원자료(월별지수)'!J63-1,"")</f>
        <v>-0.000307503075030802</v>
      </c>
      <c r="I63" s="12" t="n">
        <f aca="false">IFERROR('원자료(월별지수)'!L63/'원자료(월별지수)'!K63-1,"")</f>
        <v>0</v>
      </c>
      <c r="J63" s="12" t="n">
        <f aca="false">IFERROR('원자료(월별지수)'!M63/'원자료(월별지수)'!L63-1,"")</f>
        <v>0</v>
      </c>
      <c r="K63" s="12" t="n">
        <f aca="false">IFERROR('원자료(월별지수)'!N63/'원자료(월별지수)'!M63-1,"")</f>
        <v>0</v>
      </c>
      <c r="L63" s="12" t="n">
        <f aca="false">IFERROR('원자료(월별지수)'!O63/'원자료(월별지수)'!N63-1,"")</f>
        <v>0</v>
      </c>
      <c r="M63" s="12" t="n">
        <f aca="false">IFERROR('원자료(월별지수)'!P63/'원자료(월별지수)'!O63-1,"")</f>
        <v>-0.0268635291705117</v>
      </c>
      <c r="N63" s="12" t="n">
        <f aca="false">IFERROR('원자료(월별지수)'!Q63/'원자료(월별지수)'!P63-1,"")</f>
        <v>-0.023706669476346</v>
      </c>
      <c r="O63" s="12" t="n">
        <f aca="false">IFERROR('원자료(월별지수)'!R63/'원자료(월별지수)'!Q63-1,"")</f>
        <v>-0.0189941722426072</v>
      </c>
      <c r="P63" s="12" t="n">
        <f aca="false">IFERROR('원자료(월별지수)'!S63/'원자료(월별지수)'!R63-1,"")</f>
        <v>-0.00737073707370739</v>
      </c>
      <c r="Q63" s="12" t="n">
        <f aca="false">IFERROR('원자료(월별지수)'!T63/'원자료(월별지수)'!S63-1,"")</f>
        <v>0.0159592153385792</v>
      </c>
      <c r="R63" s="12" t="n">
        <f aca="false">IFERROR('원자료(월별지수)'!U63/'원자료(월별지수)'!T63-1,"")</f>
        <v>0.00447256463401335</v>
      </c>
      <c r="S63" s="12" t="n">
        <f aca="false">IFERROR('원자료(월별지수)'!V63/'원자료(월별지수)'!U63-1,"")</f>
        <v>0</v>
      </c>
      <c r="T63" s="12" t="n">
        <f aca="false">IFERROR('원자료(월별지수)'!W63/'원자료(월별지수)'!V63-1,"")</f>
        <v>0</v>
      </c>
      <c r="U63" s="12" t="n">
        <f aca="false">IFERROR('원자료(월별지수)'!X63/'원자료(월별지수)'!W63-1,"")</f>
        <v>0.00195482189400531</v>
      </c>
      <c r="V63" s="12" t="n">
        <f aca="false">IFERROR('원자료(월별지수)'!Y63/'원자료(월별지수)'!X63-1,"")</f>
        <v>0.0236288749187079</v>
      </c>
      <c r="W63" s="12" t="n">
        <f aca="false">IFERROR('원자료(월별지수)'!Z63/'원자료(월별지수)'!Y63-1,"")</f>
        <v>-0.0018000847098687</v>
      </c>
      <c r="X63" s="12" t="n">
        <f aca="false">IFERROR('원자료(월별지수)'!AA63/'원자료(월별지수)'!Z63-1,"")</f>
        <v>0.00657685371804395</v>
      </c>
      <c r="Y63" s="12" t="n">
        <f aca="false">IFERROR('원자료(월별지수)'!AB63/'원자료(월별지수)'!AA63-1,"")</f>
        <v>0.0182316366318895</v>
      </c>
      <c r="Z63" s="12" t="n">
        <f aca="false">IFERROR('원자료(월별지수)'!AC63/'원자료(월별지수)'!AB63-1,"")</f>
        <v>0.00486441730490572</v>
      </c>
      <c r="AA63" s="12" t="n">
        <f aca="false">IFERROR('원자료(월별지수)'!AD63/'원자료(월별지수)'!AC63-1,"")</f>
        <v>0.0247193325780204</v>
      </c>
      <c r="AB63" s="12" t="n">
        <f aca="false">IFERROR('원자료(월별지수)'!AE63/'원자료(월별지수)'!AD63-1,"")</f>
        <v>0.0522665594532115</v>
      </c>
      <c r="AC63" s="12" t="n">
        <f aca="false">IFERROR('원자료(월별지수)'!AF63/'원자료(월별지수)'!AE63-1,"")</f>
        <v>0.00563568631196865</v>
      </c>
      <c r="AD63" s="12" t="n">
        <f aca="false">IFERROR('원자료(월별지수)'!AG63/'원자료(월별지수)'!AF63-1,"")</f>
        <v>0.0227963525835866</v>
      </c>
      <c r="AE63" s="12" t="n">
        <f aca="false">IFERROR('원자료(월별지수)'!AH63/'원자료(월별지수)'!AG63-1,"")</f>
        <v>0.0156946508172362</v>
      </c>
      <c r="AF63" s="12" t="n">
        <f aca="false">IFERROR('원자료(월별지수)'!AI63/'원자료(월별지수)'!AH63-1,"")</f>
        <v>-0.0111547956478011</v>
      </c>
      <c r="AG63" s="12" t="n">
        <f aca="false">IFERROR('원자료(월별지수)'!AJ63/'원자료(월별지수)'!AI63-1,"")</f>
        <v>-0.00221914008321789</v>
      </c>
      <c r="AH63" s="12" t="n">
        <f aca="false">IFERROR('원자료(월별지수)'!AK63/'원자료(월별지수)'!AJ63-1,"")</f>
        <v>0.000648688722083346</v>
      </c>
      <c r="AI63" s="12" t="n">
        <f aca="false">IFERROR('원자료(월별지수)'!AL63/'원자료(월별지수)'!AK63-1,"")</f>
        <v>0.00990924245230596</v>
      </c>
      <c r="AJ63" s="12" t="n">
        <f aca="false">IFERROR('원자료(월별지수)'!AM63/'원자료(월별지수)'!AL63-1,"")</f>
        <v>0.0124713434204493</v>
      </c>
      <c r="AK63" s="12" t="n">
        <f aca="false">IFERROR('원자료(월별지수)'!AN63/'원자료(월별지수)'!AM63-1,"")</f>
        <v>0.018386015759442</v>
      </c>
      <c r="AL63" s="12" t="n">
        <f aca="false">IFERROR('원자료(월별지수)'!AO63/'원자료(월별지수)'!AN63-1,"")</f>
        <v>0.0678584133760227</v>
      </c>
      <c r="AM63" s="12" t="n">
        <f aca="false">IFERROR('원자료(월별지수)'!AP63/'원자료(월별지수)'!AO63-1,"")</f>
        <v>0.0363121512451072</v>
      </c>
      <c r="AN63" s="12" t="n">
        <f aca="false">IFERROR('원자료(월별지수)'!AQ63/'원자료(월별지수)'!AP63-1,"")</f>
        <v>0.197942618339629</v>
      </c>
      <c r="AO63" s="12" t="n">
        <f aca="false">IFERROR('원자료(월별지수)'!AR63/'원자료(월별지수)'!AQ63-1,"")</f>
        <v>0.113846773111499</v>
      </c>
      <c r="AP63" s="12" t="n">
        <f aca="false">IFERROR('원자료(월별지수)'!AS63/'원자료(월별지수)'!AR63-1,"")</f>
        <v>0.0237908811660543</v>
      </c>
      <c r="AQ63" s="12" t="n">
        <f aca="false">IFERROR('원자료(월별지수)'!AT63/'원자료(월별지수)'!AS63-1,"")</f>
        <v>0.00376514884104018</v>
      </c>
      <c r="AR63" s="12" t="n">
        <f aca="false">IFERROR('원자료(월별지수)'!AU63/'원자료(월별지수)'!AT63-1,"")</f>
        <v>0.0019341226116516</v>
      </c>
      <c r="AS63" s="12" t="n">
        <f aca="false">IFERROR('원자료(월별지수)'!AV63/'원자료(월별지수)'!AU63-1,"")</f>
        <v>0.00549868382568008</v>
      </c>
      <c r="AT63" s="12" t="n">
        <f aca="false">IFERROR('원자료(월별지수)'!AW63/'원자료(월별지수)'!AV63-1,"")</f>
        <v>0</v>
      </c>
      <c r="AU63" s="12" t="n">
        <f aca="false">IFERROR('원자료(월별지수)'!AX63/'원자료(월별지수)'!AW63-1,"")</f>
        <v>0</v>
      </c>
      <c r="AV63" s="12" t="n">
        <f aca="false">IFERROR('원자료(월별지수)'!AY63/'원자료(월별지수)'!AX63-1,"")</f>
        <v>0.017103961836058</v>
      </c>
      <c r="AW63" s="12" t="n">
        <f aca="false">IFERROR('원자료(월별지수)'!AZ63/'원자료(월별지수)'!AY63-1,"")</f>
        <v>0.0516501744551849</v>
      </c>
      <c r="AX63" s="12" t="n">
        <f aca="false">IFERROR('원자료(월별지수)'!BA63/'원자료(월별지수)'!AZ63-1,"")</f>
        <v>0.0227890786467964</v>
      </c>
      <c r="AY63" s="12" t="n">
        <f aca="false">IFERROR('원자료(월별지수)'!BB63/'원자료(월별지수)'!BA63-1,"")</f>
        <v>-0.0608880616857219</v>
      </c>
      <c r="AZ63" s="12" t="n">
        <f aca="false">IFERROR('원자료(월별지수)'!BC63/'원자료(월별지수)'!BB63-1,"")</f>
        <v>0.0341449603624009</v>
      </c>
      <c r="BA63" s="12" t="n">
        <f aca="false">IFERROR('원자료(월별지수)'!BD63/'원자료(월별지수)'!BC63-1,"")</f>
        <v>0.0238734052455785</v>
      </c>
      <c r="BB63" s="12" t="n">
        <f aca="false">IFERROR('원자료(월별지수)'!BE63/'원자료(월별지수)'!BD63-1,"")</f>
        <v>-0.0287181132680893</v>
      </c>
      <c r="BC63" s="12" t="n">
        <f aca="false">IFERROR('원자료(월별지수)'!BF63/'원자료(월별지수)'!BE63-1,"")</f>
        <v>-0.00236758066292264</v>
      </c>
      <c r="BD63" s="12" t="n">
        <f aca="false">IFERROR('원자료(월별지수)'!BG63/'원자료(월별지수)'!BF63-1,"")</f>
        <v>-0.00259396213919094</v>
      </c>
      <c r="BE63" s="12" t="n">
        <f aca="false">IFERROR('원자료(월별지수)'!BH63/'원자료(월별지수)'!BG63-1,"")</f>
        <v>-0.00940681717574143</v>
      </c>
      <c r="BF63" s="12" t="n">
        <f aca="false">IFERROR('원자료(월별지수)'!BI63/'원자료(월별지수)'!BH63-1,"")</f>
        <v>0.00351915987040541</v>
      </c>
      <c r="BG63" s="12" t="n">
        <f aca="false">IFERROR('원자료(월별지수)'!BJ63/'원자료(월별지수)'!BI63-1,"")</f>
        <v>0.0029501809073198</v>
      </c>
      <c r="BH63" s="12" t="n">
        <f aca="false">IFERROR('원자료(월별지수)'!BK63/'원자료(월별지수)'!BJ63-1,"")</f>
        <v>0.00116550116550096</v>
      </c>
      <c r="BI63" s="12" t="n">
        <f aca="false">IFERROR('원자료(월별지수)'!BL63/'원자료(월별지수)'!BK63-1,"")</f>
        <v>0.0060978989966185</v>
      </c>
      <c r="BJ63" s="12" t="n">
        <f aca="false">IFERROR('원자료(월별지수)'!BM63/'원자료(월별지수)'!BL63-1,"")</f>
        <v>0.00567524381508622</v>
      </c>
      <c r="BK63" s="12" t="n">
        <f aca="false">IFERROR('원자료(월별지수)'!BN63/'원자료(월별지수)'!BM63-1,"")</f>
        <v>0.00739644970414188</v>
      </c>
      <c r="BL63" s="12" t="n">
        <f aca="false">IFERROR('원자료(월별지수)'!BO63/'원자료(월별지수)'!BN63-1,"")</f>
        <v>-0.00799477891988909</v>
      </c>
      <c r="BM63" s="12" t="n">
        <f aca="false">IFERROR('원자료(월별지수)'!BP63/'원자료(월별지수)'!BO63-1,"")</f>
        <v>-0.0200109649122807</v>
      </c>
      <c r="BN63" s="12" t="n">
        <f aca="false">IFERROR('원자료(월별지수)'!BQ63/'원자료(월별지수)'!BP63-1,"")</f>
        <v>-0.0133146853146853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14" min="3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10"/>
  </cols>
  <sheetData>
    <row r="1" customFormat="false" ht="30" hidden="false" customHeight="true" outlineLevel="0" collapsed="false">
      <c r="A1" s="13" t="s">
        <v>16</v>
      </c>
      <c r="B1" s="13" t="s">
        <v>17</v>
      </c>
      <c r="C1" s="14" t="s">
        <v>158</v>
      </c>
      <c r="D1" s="14" t="s">
        <v>159</v>
      </c>
      <c r="E1" s="14" t="s">
        <v>160</v>
      </c>
      <c r="F1" s="14" t="s">
        <v>161</v>
      </c>
      <c r="G1" s="14" t="s">
        <v>162</v>
      </c>
      <c r="H1" s="14" t="s">
        <v>163</v>
      </c>
      <c r="I1" s="14" t="s">
        <v>164</v>
      </c>
      <c r="J1" s="14" t="s">
        <v>165</v>
      </c>
      <c r="K1" s="14" t="s">
        <v>166</v>
      </c>
      <c r="L1" s="14" t="s">
        <v>167</v>
      </c>
      <c r="M1" s="14" t="s">
        <v>168</v>
      </c>
      <c r="N1" s="14" t="s">
        <v>169</v>
      </c>
      <c r="O1" s="13" t="s">
        <v>170</v>
      </c>
      <c r="P1" s="13" t="s">
        <v>171</v>
      </c>
      <c r="Q1" s="13" t="s">
        <v>172</v>
      </c>
      <c r="R1" s="13" t="s">
        <v>173</v>
      </c>
    </row>
    <row r="2" customFormat="false" ht="15" hidden="false" customHeight="false" outlineLevel="0" collapsed="false">
      <c r="A2" s="8" t="s">
        <v>85</v>
      </c>
      <c r="B2" s="9" t="s">
        <v>86</v>
      </c>
      <c r="C2" s="12" t="n">
        <f aca="false">AVERAGE('월별증감률(전월비)'!N2,'월별증감률(전월비)'!Z2,'월별증감률(전월비)'!AL2,'월별증감률(전월비)'!AX2,'월별증감률(전월비)'!BJ2)</f>
        <v>-0.0104132277485186</v>
      </c>
      <c r="D2" s="12" t="n">
        <f aca="false">AVERAGE('월별증감률(전월비)'!C2,'월별증감률(전월비)'!O2,'월별증감률(전월비)'!AA2,'월별증감률(전월비)'!AM2,'월별증감률(전월비)'!AY2,'월별증감률(전월비)'!BK2)</f>
        <v>0.000783925577732547</v>
      </c>
      <c r="E2" s="12" t="n">
        <f aca="false">AVERAGE('월별증감률(전월비)'!D2,'월별증감률(전월비)'!P2,'월별증감률(전월비)'!AB2,'월별증감률(전월비)'!AN2,'월별증감률(전월비)'!AZ2,'월별증감률(전월비)'!BL2)</f>
        <v>0.000375601314860197</v>
      </c>
      <c r="F2" s="12" t="n">
        <f aca="false">AVERAGE('월별증감률(전월비)'!E2,'월별증감률(전월비)'!Q2,'월별증감률(전월비)'!AC2,'월별증감률(전월비)'!AO2,'월별증감률(전월비)'!BA2,'월별증감률(전월비)'!BM2)</f>
        <v>-0.00738587671260936</v>
      </c>
      <c r="G2" s="12" t="n">
        <f aca="false">AVERAGE('월별증감률(전월비)'!F2,'월별증감률(전월비)'!R2,'월별증감률(전월비)'!AD2,'월별증감률(전월비)'!AP2,'월별증감률(전월비)'!BB2,'월별증감률(전월비)'!BN2)</f>
        <v>-0.00464516288044433</v>
      </c>
      <c r="H2" s="12" t="n">
        <f aca="false">AVERAGE('월별증감률(전월비)'!G2,'월별증감률(전월비)'!S2,'월별증감률(전월비)'!AE2,'월별증감률(전월비)'!AQ2,'월별증감률(전월비)'!BC2)</f>
        <v>0.00404944931003808</v>
      </c>
      <c r="I2" s="12" t="n">
        <f aca="false">AVERAGE('월별증감률(전월비)'!H2,'월별증감률(전월비)'!T2,'월별증감률(전월비)'!AF2,'월별증감률(전월비)'!AR2,'월별증감률(전월비)'!BD2)</f>
        <v>-0.000896941795425232</v>
      </c>
      <c r="J2" s="12" t="n">
        <f aca="false">AVERAGE('월별증감률(전월비)'!I2,'월별증감률(전월비)'!U2,'월별증감률(전월비)'!AG2,'월별증감률(전월비)'!AS2,'월별증감률(전월비)'!BE2)</f>
        <v>0.00225627413430851</v>
      </c>
      <c r="K2" s="12" t="n">
        <f aca="false">AVERAGE('월별증감률(전월비)'!J2,'월별증감률(전월비)'!V2,'월별증감률(전월비)'!AH2,'월별증감률(전월비)'!AT2,'월별증감률(전월비)'!BF2)</f>
        <v>-0.000274803925863232</v>
      </c>
      <c r="L2" s="12" t="n">
        <f aca="false">AVERAGE('월별증감률(전월비)'!K2,'월별증감률(전월비)'!W2,'월별증감률(전월비)'!AI2,'월별증감률(전월비)'!AU2,'월별증감률(전월비)'!BG2)</f>
        <v>0.0672538061187475</v>
      </c>
      <c r="M2" s="12" t="n">
        <f aca="false">AVERAGE('월별증감률(전월비)'!L2,'월별증감률(전월비)'!X2,'월별증감률(전월비)'!AJ2,'월별증감률(전월비)'!AV2,'월별증감률(전월비)'!BH2)</f>
        <v>-0.0281386107367728</v>
      </c>
      <c r="N2" s="12" t="n">
        <f aca="false">AVERAGE('월별증감률(전월비)'!M2,'월별증감률(전월비)'!Y2,'월별증감률(전월비)'!AK2,'월별증감률(전월비)'!AW2,'월별증감률(전월비)'!BI2)</f>
        <v>-0.00547142028294445</v>
      </c>
      <c r="O2" s="15" t="str">
        <f aca="false">INDEX($C$1:$N$1,MATCH(MAX(C2:N2),C2:N2,0))</f>
        <v>10월</v>
      </c>
      <c r="P2" s="16" t="n">
        <f aca="false">MAX(C2:N2)</f>
        <v>0.0672538061187475</v>
      </c>
      <c r="Q2" s="17" t="str">
        <f aca="false">INDEX($C$1:$N$1,MATCH(MIN(C2:N2),C2:N2,0))</f>
        <v>11월</v>
      </c>
      <c r="R2" s="18" t="n">
        <f aca="false">MIN(C2:N2)</f>
        <v>-0.0281386107367728</v>
      </c>
    </row>
    <row r="3" customFormat="false" ht="15" hidden="false" customHeight="false" outlineLevel="0" collapsed="false">
      <c r="A3" s="8" t="s">
        <v>85</v>
      </c>
      <c r="B3" s="9" t="s">
        <v>88</v>
      </c>
      <c r="C3" s="12" t="n">
        <f aca="false">AVERAGE('월별증감률(전월비)'!N3,'월별증감률(전월비)'!Z3,'월별증감률(전월비)'!AL3,'월별증감률(전월비)'!AX3,'월별증감률(전월비)'!BJ3)</f>
        <v>-0.000789261996863466</v>
      </c>
      <c r="D3" s="12" t="n">
        <f aca="false">AVERAGE('월별증감률(전월비)'!C3,'월별증감률(전월비)'!O3,'월별증감률(전월비)'!AA3,'월별증감률(전월비)'!AM3,'월별증감률(전월비)'!AY3,'월별증감률(전월비)'!BK3)</f>
        <v>0.00322732710874135</v>
      </c>
      <c r="E3" s="12" t="n">
        <f aca="false">AVERAGE('월별증감률(전월비)'!D3,'월별증감률(전월비)'!P3,'월별증감률(전월비)'!AB3,'월별증감률(전월비)'!AN3,'월별증감률(전월비)'!AZ3,'월별증감률(전월비)'!BL3)</f>
        <v>0.00276969787012162</v>
      </c>
      <c r="F3" s="12" t="n">
        <f aca="false">AVERAGE('월별증감률(전월비)'!E3,'월별증감률(전월비)'!Q3,'월별증감률(전월비)'!AC3,'월별증감률(전월비)'!AO3,'월별증감률(전월비)'!BA3,'월별증감률(전월비)'!BM3)</f>
        <v>-0.00423493206903406</v>
      </c>
      <c r="G3" s="12" t="n">
        <f aca="false">AVERAGE('월별증감률(전월비)'!F3,'월별증감률(전월비)'!R3,'월별증감률(전월비)'!AD3,'월별증감률(전월비)'!AP3,'월별증감률(전월비)'!BB3,'월별증감률(전월비)'!BN3)</f>
        <v>-0.00932872297921863</v>
      </c>
      <c r="H3" s="12" t="n">
        <f aca="false">AVERAGE('월별증감률(전월비)'!G3,'월별증감률(전월비)'!S3,'월별증감률(전월비)'!AE3,'월별증감률(전월비)'!AQ3,'월별증감률(전월비)'!BC3)</f>
        <v>0.0291348396459909</v>
      </c>
      <c r="I3" s="12" t="n">
        <f aca="false">AVERAGE('월별증감률(전월비)'!H3,'월별증감률(전월비)'!T3,'월별증감률(전월비)'!AF3,'월별증감률(전월비)'!AR3,'월별증감률(전월비)'!BD3)</f>
        <v>0.0667007266345432</v>
      </c>
      <c r="J3" s="12" t="n">
        <f aca="false">AVERAGE('월별증감률(전월비)'!I3,'월별증감률(전월비)'!U3,'월별증감률(전월비)'!AG3,'월별증감률(전월비)'!AS3,'월별증감률(전월비)'!BE3)</f>
        <v>0.000155763239875384</v>
      </c>
      <c r="K3" s="12" t="n">
        <f aca="false">AVERAGE('월별증감률(전월비)'!J3,'월별증감률(전월비)'!V3,'월별증감률(전월비)'!AH3,'월별증감률(전월비)'!AT3,'월별증감률(전월비)'!BF3)</f>
        <v>0</v>
      </c>
      <c r="L3" s="12" t="n">
        <f aca="false">AVERAGE('월별증감률(전월비)'!K3,'월별증감률(전월비)'!W3,'월별증감률(전월비)'!AI3,'월별증감률(전월비)'!AU3,'월별증감률(전월비)'!BG3)</f>
        <v>0.00973657024793386</v>
      </c>
      <c r="M3" s="12" t="n">
        <f aca="false">AVERAGE('월별증감률(전월비)'!L3,'월별증감률(전월비)'!X3,'월별증감률(전월비)'!AJ3,'월별증감률(전월비)'!AV3,'월별증감률(전월비)'!BH3)</f>
        <v>0.00680950621844603</v>
      </c>
      <c r="N3" s="12" t="n">
        <f aca="false">AVERAGE('월별증감률(전월비)'!M3,'월별증감률(전월비)'!Y3,'월별증감률(전월비)'!AK3,'월별증감률(전월비)'!AW3,'월별증감률(전월비)'!BI3)</f>
        <v>0</v>
      </c>
      <c r="O3" s="15" t="str">
        <f aca="false">INDEX($C$1:$N$1,MATCH(MAX(C3:N3),C3:N3,0))</f>
        <v>7월</v>
      </c>
      <c r="P3" s="16" t="n">
        <f aca="false">MAX(C3:N3)</f>
        <v>0.0667007266345432</v>
      </c>
      <c r="Q3" s="17" t="str">
        <f aca="false">INDEX($C$1:$N$1,MATCH(MIN(C3:N3),C3:N3,0))</f>
        <v>5월</v>
      </c>
      <c r="R3" s="18" t="n">
        <f aca="false">MIN(C3:N3)</f>
        <v>-0.00932872297921863</v>
      </c>
    </row>
    <row r="4" customFormat="false" ht="15" hidden="false" customHeight="false" outlineLevel="0" collapsed="false">
      <c r="A4" s="8" t="s">
        <v>85</v>
      </c>
      <c r="B4" s="9" t="s">
        <v>89</v>
      </c>
      <c r="C4" s="12" t="n">
        <f aca="false">AVERAGE('월별증감률(전월비)'!N4,'월별증감률(전월비)'!Z4,'월별증감률(전월비)'!AL4,'월별증감률(전월비)'!AX4,'월별증감률(전월비)'!BJ4)</f>
        <v>-0.0133572543299105</v>
      </c>
      <c r="D4" s="12" t="n">
        <f aca="false">AVERAGE('월별증감률(전월비)'!C4,'월별증감률(전월비)'!O4,'월별증감률(전월비)'!AA4,'월별증감률(전월비)'!AM4,'월별증감률(전월비)'!AY4,'월별증감률(전월비)'!BK4)</f>
        <v>-0.00410160182699952</v>
      </c>
      <c r="E4" s="12" t="n">
        <f aca="false">AVERAGE('월별증감률(전월비)'!D4,'월별증감률(전월비)'!P4,'월별증감률(전월비)'!AB4,'월별증감률(전월비)'!AN4,'월별증감률(전월비)'!AZ4,'월별증감률(전월비)'!BL4)</f>
        <v>0.00446013539253293</v>
      </c>
      <c r="F4" s="12" t="n">
        <f aca="false">AVERAGE('월별증감률(전월비)'!E4,'월별증감률(전월비)'!Q4,'월별증감률(전월비)'!AC4,'월별증감률(전월비)'!AO4,'월별증감률(전월비)'!BA4,'월별증감률(전월비)'!BM4)</f>
        <v>-0.00121220041420154</v>
      </c>
      <c r="G4" s="12" t="n">
        <f aca="false">AVERAGE('월별증감률(전월비)'!F4,'월별증감률(전월비)'!R4,'월별증감률(전월비)'!AD4,'월별증감률(전월비)'!AP4,'월별증감률(전월비)'!BB4,'월별증감률(전월비)'!BN4)</f>
        <v>0.00348439891206818</v>
      </c>
      <c r="H4" s="12" t="n">
        <f aca="false">AVERAGE('월별증감률(전월비)'!G4,'월별증감률(전월비)'!S4,'월별증감률(전월비)'!AE4,'월별증감률(전월비)'!AQ4,'월별증감률(전월비)'!BC4)</f>
        <v>0.00452840142475808</v>
      </c>
      <c r="I4" s="12" t="n">
        <f aca="false">AVERAGE('월별증감률(전월비)'!H4,'월별증감률(전월비)'!T4,'월별증감률(전월비)'!AF4,'월별증감률(전월비)'!AR4,'월별증감률(전월비)'!BD4)</f>
        <v>0.00354377471104768</v>
      </c>
      <c r="J4" s="12" t="n">
        <f aca="false">AVERAGE('월별증감률(전월비)'!I4,'월별증감률(전월비)'!U4,'월별증감률(전월비)'!AG4,'월별증감률(전월비)'!AS4,'월별증감률(전월비)'!BE4)</f>
        <v>0.0029591026717454</v>
      </c>
      <c r="K4" s="12" t="n">
        <f aca="false">AVERAGE('월별증감률(전월비)'!J4,'월별증감률(전월비)'!V4,'월별증감률(전월비)'!AH4,'월별증감률(전월비)'!AT4,'월별증감률(전월비)'!BF4)</f>
        <v>0.00200365669098943</v>
      </c>
      <c r="L4" s="12" t="n">
        <f aca="false">AVERAGE('월별증감률(전월비)'!K4,'월별증감률(전월비)'!W4,'월별증감률(전월비)'!AI4,'월별증감률(전월비)'!AU4,'월별증감률(전월비)'!BG4)</f>
        <v>0.00103940453998908</v>
      </c>
      <c r="M4" s="12" t="n">
        <f aca="false">AVERAGE('월별증감률(전월비)'!L4,'월별증감률(전월비)'!X4,'월별증감률(전월비)'!AJ4,'월별증감률(전월비)'!AV4,'월별증감률(전월비)'!BH4)</f>
        <v>-0.00833683444110496</v>
      </c>
      <c r="N4" s="12" t="n">
        <f aca="false">AVERAGE('월별증감률(전월비)'!M4,'월별증감률(전월비)'!Y4,'월별증감률(전월비)'!AK4,'월별증감률(전월비)'!AW4,'월별증감률(전월비)'!BI4)</f>
        <v>-0.0148444598018511</v>
      </c>
      <c r="O4" s="15" t="str">
        <f aca="false">INDEX($C$1:$N$1,MATCH(MAX(C4:N4),C4:N4,0))</f>
        <v>6월</v>
      </c>
      <c r="P4" s="16" t="n">
        <f aca="false">MAX(C4:N4)</f>
        <v>0.00452840142475808</v>
      </c>
      <c r="Q4" s="17" t="str">
        <f aca="false">INDEX($C$1:$N$1,MATCH(MIN(C4:N4),C4:N4,0))</f>
        <v>12월</v>
      </c>
      <c r="R4" s="18" t="n">
        <f aca="false">MIN(C4:N4)</f>
        <v>-0.0148444598018511</v>
      </c>
    </row>
    <row r="5" customFormat="false" ht="15" hidden="false" customHeight="false" outlineLevel="0" collapsed="false">
      <c r="A5" s="8" t="s">
        <v>90</v>
      </c>
      <c r="B5" s="9" t="s">
        <v>91</v>
      </c>
      <c r="C5" s="12" t="n">
        <f aca="false">AVERAGE('월별증감률(전월비)'!N5,'월별증감률(전월비)'!Z5,'월별증감률(전월비)'!AL5,'월별증감률(전월비)'!AX5,'월별증감률(전월비)'!BJ5)</f>
        <v>0.0523189491273014</v>
      </c>
      <c r="D5" s="12" t="n">
        <f aca="false">AVERAGE('월별증감률(전월비)'!C5,'월별증감률(전월비)'!O5,'월별증감률(전월비)'!AA5,'월별증감률(전월비)'!AM5,'월별증감률(전월비)'!AY5,'월별증감률(전월비)'!BK5)</f>
        <v>-0.0365575589396297</v>
      </c>
      <c r="E5" s="12" t="n">
        <f aca="false">AVERAGE('월별증감률(전월비)'!D5,'월별증감률(전월비)'!P5,'월별증감률(전월비)'!AB5,'월별증감률(전월비)'!AN5,'월별증감률(전월비)'!AZ5,'월별증감률(전월비)'!BL5)</f>
        <v>0.0256394752271153</v>
      </c>
      <c r="F5" s="12" t="n">
        <f aca="false">AVERAGE('월별증감률(전월비)'!E5,'월별증감률(전월비)'!Q5,'월별증감률(전월비)'!AC5,'월별증감률(전월비)'!AO5,'월별증감률(전월비)'!BA5,'월별증감률(전월비)'!BM5)</f>
        <v>0.137417553411179</v>
      </c>
      <c r="G5" s="12" t="n">
        <f aca="false">AVERAGE('월별증감률(전월비)'!F5,'월별증감률(전월비)'!R5,'월별증감률(전월비)'!AD5,'월별증감률(전월비)'!AP5,'월별증감률(전월비)'!BB5,'월별증감률(전월비)'!BN5)</f>
        <v>-0.0848309853032339</v>
      </c>
      <c r="H5" s="12" t="n">
        <f aca="false">AVERAGE('월별증감률(전월비)'!G5,'월별증감률(전월비)'!S5,'월별증감률(전월비)'!AE5,'월별증감률(전월비)'!AQ5,'월별증감률(전월비)'!BC5)</f>
        <v>-0.261517654407878</v>
      </c>
      <c r="I5" s="12" t="n">
        <f aca="false">AVERAGE('월별증감률(전월비)'!H5,'월별증감률(전월비)'!T5,'월별증감률(전월비)'!AF5,'월별증감률(전월비)'!AR5,'월별증감률(전월비)'!BD5)</f>
        <v>0.0222644221724199</v>
      </c>
      <c r="J5" s="12" t="n">
        <f aca="false">AVERAGE('월별증감률(전월비)'!I5,'월별증감률(전월비)'!U5,'월별증감률(전월비)'!AG5,'월별증감률(전월비)'!AS5,'월별증감률(전월비)'!BE5)</f>
        <v>0.138688281215103</v>
      </c>
      <c r="K5" s="12" t="n">
        <f aca="false">AVERAGE('월별증감률(전월비)'!J5,'월별증감률(전월비)'!V5,'월별증감률(전월비)'!AH5,'월별증감률(전월비)'!AT5,'월별증감률(전월비)'!BF5)</f>
        <v>0.0397047940437255</v>
      </c>
      <c r="L5" s="12" t="n">
        <f aca="false">AVERAGE('월별증감률(전월비)'!K5,'월별증감률(전월비)'!W5,'월별증감률(전월비)'!AI5,'월별증감률(전월비)'!AU5,'월별증감률(전월비)'!BG5)</f>
        <v>-0.00496956455232436</v>
      </c>
      <c r="M5" s="12" t="n">
        <f aca="false">AVERAGE('월별증감률(전월비)'!L5,'월별증감률(전월비)'!X5,'월별증감률(전월비)'!AJ5,'월별증감률(전월비)'!AV5,'월별증감률(전월비)'!BH5)</f>
        <v>0.0569389267154827</v>
      </c>
      <c r="N5" s="12" t="n">
        <f aca="false">AVERAGE('월별증감률(전월비)'!M5,'월별증감률(전월비)'!Y5,'월별증감률(전월비)'!AK5,'월별증감률(전월비)'!AW5,'월별증감률(전월비)'!BI5)</f>
        <v>0.0739218151969698</v>
      </c>
      <c r="O5" s="15" t="str">
        <f aca="false">INDEX($C$1:$N$1,MATCH(MAX(C5:N5),C5:N5,0))</f>
        <v>8월</v>
      </c>
      <c r="P5" s="16" t="n">
        <f aca="false">MAX(C5:N5)</f>
        <v>0.138688281215103</v>
      </c>
      <c r="Q5" s="17" t="str">
        <f aca="false">INDEX($C$1:$N$1,MATCH(MIN(C5:N5),C5:N5,0))</f>
        <v>6월</v>
      </c>
      <c r="R5" s="18" t="n">
        <f aca="false">MIN(C5:N5)</f>
        <v>-0.261517654407878</v>
      </c>
    </row>
    <row r="6" customFormat="false" ht="15" hidden="false" customHeight="false" outlineLevel="0" collapsed="false">
      <c r="A6" s="8" t="s">
        <v>90</v>
      </c>
      <c r="B6" s="9" t="s">
        <v>92</v>
      </c>
      <c r="C6" s="12" t="n">
        <f aca="false">AVERAGE('월별증감률(전월비)'!N6,'월별증감률(전월비)'!Z6,'월별증감률(전월비)'!AL6,'월별증감률(전월비)'!AX6,'월별증감률(전월비)'!BJ6)</f>
        <v>0.0140473889133343</v>
      </c>
      <c r="D6" s="12" t="n">
        <f aca="false">AVERAGE('월별증감률(전월비)'!C6,'월별증감률(전월비)'!O6,'월별증감률(전월비)'!AA6,'월별증감률(전월비)'!AM6,'월별증감률(전월비)'!AY6,'월별증감률(전월비)'!BK6)</f>
        <v>0.0309206649616498</v>
      </c>
      <c r="E6" s="12" t="n">
        <f aca="false">AVERAGE('월별증감률(전월비)'!D6,'월별증감률(전월비)'!P6,'월별증감률(전월비)'!AB6,'월별증감률(전월비)'!AN6,'월별증감률(전월비)'!AZ6,'월별증감률(전월비)'!BL6)</f>
        <v>-0.0363990770245079</v>
      </c>
      <c r="F6" s="12" t="n">
        <f aca="false">AVERAGE('월별증감률(전월비)'!E6,'월별증감률(전월비)'!Q6,'월별증감률(전월비)'!AC6,'월별증감률(전월비)'!AO6,'월별증감률(전월비)'!BA6,'월별증감률(전월비)'!BM6)</f>
        <v>-0.00486017386604798</v>
      </c>
      <c r="G6" s="12" t="n">
        <f aca="false">AVERAGE('월별증감률(전월비)'!F6,'월별증감률(전월비)'!R6,'월별증감률(전월비)'!AD6,'월별증감률(전월비)'!AP6,'월별증감률(전월비)'!BB6,'월별증감률(전월비)'!BN6)</f>
        <v>0.0687901196605954</v>
      </c>
      <c r="H6" s="12" t="n">
        <f aca="false">AVERAGE('월별증감률(전월비)'!G6,'월별증감률(전월비)'!S6,'월별증감률(전월비)'!AE6,'월별증감률(전월비)'!AQ6,'월별증감률(전월비)'!BC6)</f>
        <v>0.0380057018150479</v>
      </c>
      <c r="I6" s="12" t="n">
        <f aca="false">AVERAGE('월별증감률(전월비)'!H6,'월별증감률(전월비)'!T6,'월별증감률(전월비)'!AF6,'월별증감률(전월비)'!AR6,'월별증감률(전월비)'!BD6)</f>
        <v>-0.140385749129133</v>
      </c>
      <c r="J6" s="12" t="n">
        <f aca="false">AVERAGE('월별증감률(전월비)'!I6,'월별증감률(전월비)'!U6,'월별증감률(전월비)'!AG6,'월별증감률(전월비)'!AS6,'월별증감률(전월비)'!BE6)</f>
        <v>0.0753966911417403</v>
      </c>
      <c r="K6" s="12" t="n">
        <f aca="false">AVERAGE('월별증감률(전월비)'!J6,'월별증감률(전월비)'!V6,'월별증감률(전월비)'!AH6,'월별증감률(전월비)'!AT6,'월별증감률(전월비)'!BF6)</f>
        <v>-0.0758255811276239</v>
      </c>
      <c r="L6" s="12" t="n">
        <f aca="false">AVERAGE('월별증감률(전월비)'!K6,'월별증감률(전월비)'!W6,'월별증감률(전월비)'!AI6,'월별증감률(전월비)'!AU6,'월별증감률(전월비)'!BG6)</f>
        <v>-0.0759184335510277</v>
      </c>
      <c r="M6" s="12" t="n">
        <f aca="false">AVERAGE('월별증감률(전월비)'!L6,'월별증감률(전월비)'!X6,'월별증감률(전월비)'!AJ6,'월별증감률(전월비)'!AV6,'월별증감률(전월비)'!BH6)</f>
        <v>0.0232705158007874</v>
      </c>
      <c r="N6" s="12" t="n">
        <f aca="false">AVERAGE('월별증감률(전월비)'!M6,'월별증감률(전월비)'!Y6,'월별증감률(전월비)'!AK6,'월별증감률(전월비)'!AW6,'월별증감률(전월비)'!BI6)</f>
        <v>0.0680330110387228</v>
      </c>
      <c r="O6" s="15" t="str">
        <f aca="false">INDEX($C$1:$N$1,MATCH(MAX(C6:N6),C6:N6,0))</f>
        <v>8월</v>
      </c>
      <c r="P6" s="16" t="n">
        <f aca="false">MAX(C6:N6)</f>
        <v>0.0753966911417403</v>
      </c>
      <c r="Q6" s="17" t="str">
        <f aca="false">INDEX($C$1:$N$1,MATCH(MIN(C6:N6),C6:N6,0))</f>
        <v>7월</v>
      </c>
      <c r="R6" s="18" t="n">
        <f aca="false">MIN(C6:N6)</f>
        <v>-0.140385749129133</v>
      </c>
    </row>
    <row r="7" customFormat="false" ht="15" hidden="false" customHeight="false" outlineLevel="0" collapsed="false">
      <c r="A7" s="8" t="s">
        <v>93</v>
      </c>
      <c r="B7" s="9" t="s">
        <v>94</v>
      </c>
      <c r="C7" s="12" t="n">
        <f aca="false">AVERAGE('월별증감률(전월비)'!N7,'월별증감률(전월비)'!Z7,'월별증감률(전월비)'!AL7,'월별증감률(전월비)'!AX7,'월별증감률(전월비)'!BJ7)</f>
        <v>0.0560277466177169</v>
      </c>
      <c r="D7" s="12" t="n">
        <f aca="false">AVERAGE('월별증감률(전월비)'!C7,'월별증감률(전월비)'!O7,'월별증감률(전월비)'!AA7,'월별증감률(전월비)'!AM7,'월별증감률(전월비)'!AY7,'월별증감률(전월비)'!BK7)</f>
        <v>0.172448154015417</v>
      </c>
      <c r="E7" s="12" t="n">
        <f aca="false">AVERAGE('월별증감률(전월비)'!D7,'월별증감률(전월비)'!P7,'월별증감률(전월비)'!AB7,'월별증감률(전월비)'!AN7,'월별증감률(전월비)'!AZ7,'월별증감률(전월비)'!BL7)</f>
        <v>0.162372513928355</v>
      </c>
      <c r="F7" s="12" t="n">
        <f aca="false">AVERAGE('월별증감률(전월비)'!E7,'월별증감률(전월비)'!Q7,'월별증감률(전월비)'!AC7,'월별증감률(전월비)'!AO7,'월별증감률(전월비)'!BA7,'월별증감률(전월비)'!BM7)</f>
        <v>0.107997344011237</v>
      </c>
      <c r="G7" s="12" t="n">
        <f aca="false">AVERAGE('월별증감률(전월비)'!F7,'월별증감률(전월비)'!R7,'월별증감률(전월비)'!AD7,'월별증감률(전월비)'!AP7,'월별증감률(전월비)'!BB7,'월별증감률(전월비)'!BN7)</f>
        <v>-0.206491989264989</v>
      </c>
      <c r="H7" s="12" t="n">
        <f aca="false">AVERAGE('월별증감률(전월비)'!G7,'월별증감률(전월비)'!S7,'월별증감률(전월비)'!AE7,'월별증감률(전월비)'!AQ7,'월별증감률(전월비)'!BC7)</f>
        <v>-0.139147089477944</v>
      </c>
      <c r="I7" s="12" t="n">
        <f aca="false">AVERAGE('월별증감률(전월비)'!H7,'월별증감률(전월비)'!T7,'월별증감률(전월비)'!AF7,'월별증감률(전월비)'!AR7,'월별증감률(전월비)'!BD7)</f>
        <v>0.331729747436745</v>
      </c>
      <c r="J7" s="12" t="n">
        <f aca="false">AVERAGE('월별증감률(전월비)'!I7,'월별증감률(전월비)'!U7,'월별증감률(전월비)'!AG7,'월별증감률(전월비)'!AS7,'월별증감률(전월비)'!BE7)</f>
        <v>0.601069244194685</v>
      </c>
      <c r="K7" s="12" t="n">
        <f aca="false">AVERAGE('월별증감률(전월비)'!J7,'월별증감률(전월비)'!V7,'월별증감률(전월비)'!AH7,'월별증감률(전월비)'!AT7,'월별증감률(전월비)'!BF7)</f>
        <v>0.332891173734801</v>
      </c>
      <c r="L7" s="12" t="n">
        <f aca="false">AVERAGE('월별증감률(전월비)'!K7,'월별증감률(전월비)'!W7,'월별증감률(전월비)'!AI7,'월별증감률(전월비)'!AU7,'월별증감률(전월비)'!BG7)</f>
        <v>-0.410681209347012</v>
      </c>
      <c r="M7" s="12" t="n">
        <f aca="false">AVERAGE('월별증감률(전월비)'!L7,'월별증감률(전월비)'!X7,'월별증감률(전월비)'!AJ7,'월별증감률(전월비)'!AV7,'월별증감률(전월비)'!BH7)</f>
        <v>-0.157229063165096</v>
      </c>
      <c r="N7" s="12" t="n">
        <f aca="false">AVERAGE('월별증감률(전월비)'!M7,'월별증감률(전월비)'!Y7,'월별증감률(전월비)'!AK7,'월별증감률(전월비)'!AW7,'월별증감률(전월비)'!BI7)</f>
        <v>-0.0744188705621281</v>
      </c>
      <c r="O7" s="15" t="str">
        <f aca="false">INDEX($C$1:$N$1,MATCH(MAX(C7:N7),C7:N7,0))</f>
        <v>8월</v>
      </c>
      <c r="P7" s="16" t="n">
        <f aca="false">MAX(C7:N7)</f>
        <v>0.601069244194685</v>
      </c>
      <c r="Q7" s="17" t="str">
        <f aca="false">INDEX($C$1:$N$1,MATCH(MIN(C7:N7),C7:N7,0))</f>
        <v>10월</v>
      </c>
      <c r="R7" s="18" t="n">
        <f aca="false">MIN(C7:N7)</f>
        <v>-0.410681209347012</v>
      </c>
    </row>
    <row r="8" customFormat="false" ht="15" hidden="false" customHeight="false" outlineLevel="0" collapsed="false">
      <c r="A8" s="8" t="s">
        <v>93</v>
      </c>
      <c r="B8" s="9" t="s">
        <v>95</v>
      </c>
      <c r="C8" s="12" t="n">
        <f aca="false">AVERAGE('월별증감률(전월비)'!N8,'월별증감률(전월비)'!Z8,'월별증감률(전월비)'!AL8,'월별증감률(전월비)'!AX8,'월별증감률(전월비)'!BJ8)</f>
        <v>0.330440820739425</v>
      </c>
      <c r="D8" s="12" t="n">
        <f aca="false">AVERAGE('월별증감률(전월비)'!C8,'월별증감률(전월비)'!O8,'월별증감률(전월비)'!AA8,'월별증감률(전월비)'!AM8,'월별증감률(전월비)'!AY8,'월별증감률(전월비)'!BK8)</f>
        <v>0.0828533040746135</v>
      </c>
      <c r="E8" s="12" t="n">
        <f aca="false">AVERAGE('월별증감률(전월비)'!D8,'월별증감률(전월비)'!P8,'월별증감률(전월비)'!AB8,'월별증감률(전월비)'!AN8,'월별증감률(전월비)'!AZ8,'월별증감률(전월비)'!BL8)</f>
        <v>-0.191176387224574</v>
      </c>
      <c r="F8" s="12" t="n">
        <f aca="false">AVERAGE('월별증감률(전월비)'!E8,'월별증감률(전월비)'!Q8,'월별증감률(전월비)'!AC8,'월별증감률(전월비)'!AO8,'월별증감률(전월비)'!BA8,'월별증감률(전월비)'!BM8)</f>
        <v>-0.102959736492814</v>
      </c>
      <c r="G8" s="12" t="n">
        <f aca="false">AVERAGE('월별증감률(전월비)'!F8,'월별증감률(전월비)'!R8,'월별증감률(전월비)'!AD8,'월별증감률(전월비)'!AP8,'월별증감률(전월비)'!BB8,'월별증감률(전월비)'!BN8)</f>
        <v>0.126738354173719</v>
      </c>
      <c r="H8" s="12" t="n">
        <f aca="false">AVERAGE('월별증감률(전월비)'!G8,'월별증감률(전월비)'!S8,'월별증감률(전월비)'!AE8,'월별증감률(전월비)'!AQ8,'월별증감률(전월비)'!BC8)</f>
        <v>0.251952692233903</v>
      </c>
      <c r="I8" s="12" t="n">
        <f aca="false">AVERAGE('월별증감률(전월비)'!H8,'월별증감률(전월비)'!T8,'월별증감률(전월비)'!AF8,'월별증감률(전월비)'!AR8,'월별증감률(전월비)'!BD8)</f>
        <v>1.46326032960413</v>
      </c>
      <c r="J8" s="12" t="n">
        <f aca="false">AVERAGE('월별증감률(전월비)'!I8,'월별증감률(전월비)'!U8,'월별증감률(전월비)'!AG8,'월별증감률(전월비)'!AS8,'월별증감률(전월비)'!BE8)</f>
        <v>0.659885454780932</v>
      </c>
      <c r="K8" s="12" t="n">
        <f aca="false">AVERAGE('월별증감률(전월비)'!J8,'월별증감률(전월비)'!V8,'월별증감률(전월비)'!AH8,'월별증감률(전월비)'!AT8,'월별증감률(전월비)'!BF8)</f>
        <v>-0.112822284555675</v>
      </c>
      <c r="L8" s="12" t="n">
        <f aca="false">AVERAGE('월별증감률(전월비)'!K8,'월별증감률(전월비)'!W8,'월별증감률(전월비)'!AI8,'월별증감률(전월비)'!AU8,'월별증감률(전월비)'!BG8)</f>
        <v>-0.541630570405754</v>
      </c>
      <c r="M8" s="12" t="n">
        <f aca="false">AVERAGE('월별증감률(전월비)'!L8,'월별증감률(전월비)'!X8,'월별증감률(전월비)'!AJ8,'월별증감률(전월비)'!AV8,'월별증감률(전월비)'!BH8)</f>
        <v>-0.420081490975602</v>
      </c>
      <c r="N8" s="12" t="n">
        <f aca="false">AVERAGE('월별증감률(전월비)'!M8,'월별증감률(전월비)'!Y8,'월별증감률(전월비)'!AK8,'월별증감률(전월비)'!AW8,'월별증감률(전월비)'!BI8)</f>
        <v>-0.12494733549808</v>
      </c>
      <c r="O8" s="15" t="str">
        <f aca="false">INDEX($C$1:$N$1,MATCH(MAX(C8:N8),C8:N8,0))</f>
        <v>7월</v>
      </c>
      <c r="P8" s="16" t="n">
        <f aca="false">MAX(C8:N8)</f>
        <v>1.46326032960413</v>
      </c>
      <c r="Q8" s="17" t="str">
        <f aca="false">INDEX($C$1:$N$1,MATCH(MIN(C8:N8),C8:N8,0))</f>
        <v>10월</v>
      </c>
      <c r="R8" s="18" t="n">
        <f aca="false">MIN(C8:N8)</f>
        <v>-0.541630570405754</v>
      </c>
    </row>
    <row r="9" customFormat="false" ht="15" hidden="false" customHeight="false" outlineLevel="0" collapsed="false">
      <c r="A9" s="8" t="s">
        <v>93</v>
      </c>
      <c r="B9" s="9" t="s">
        <v>96</v>
      </c>
      <c r="C9" s="12" t="n">
        <f aca="false">AVERAGE('월별증감률(전월비)'!N9,'월별증감률(전월비)'!Z9,'월별증감률(전월비)'!AL9,'월별증감률(전월비)'!AX9,'월별증감률(전월비)'!BJ9)</f>
        <v>0.417269004105675</v>
      </c>
      <c r="D9" s="12" t="n">
        <f aca="false">AVERAGE('월별증감률(전월비)'!C9,'월별증감률(전월비)'!O9,'월별증감률(전월비)'!AA9,'월별증감률(전월비)'!AM9,'월별증감률(전월비)'!AY9,'월별증감률(전월비)'!BK9)</f>
        <v>-0.311689650038641</v>
      </c>
      <c r="E9" s="12" t="n">
        <f aca="false">AVERAGE('월별증감률(전월비)'!D9,'월별증감률(전월비)'!P9,'월별증감률(전월비)'!AB9,'월별증감률(전월비)'!AN9,'월별증감률(전월비)'!AZ9,'월별증감률(전월비)'!BL9)</f>
        <v>-0.113976846362139</v>
      </c>
      <c r="F9" s="12" t="n">
        <f aca="false">AVERAGE('월별증감률(전월비)'!E9,'월별증감률(전월비)'!Q9,'월별증감률(전월비)'!AC9,'월별증감률(전월비)'!AO9,'월별증감률(전월비)'!BA9,'월별증감률(전월비)'!BM9)</f>
        <v>0.00536093702289087</v>
      </c>
      <c r="G9" s="12" t="n">
        <f aca="false">AVERAGE('월별증감률(전월비)'!F9,'월별증감률(전월비)'!R9,'월별증감률(전월비)'!AD9,'월별증감률(전월비)'!AP9,'월별증감률(전월비)'!BB9,'월별증감률(전월비)'!BN9)</f>
        <v>0.0840154335862218</v>
      </c>
      <c r="H9" s="12" t="n">
        <f aca="false">AVERAGE('월별증감률(전월비)'!G9,'월별증감률(전월비)'!S9,'월별증감률(전월비)'!AE9,'월별증감률(전월비)'!AQ9,'월별증감률(전월비)'!BC9)</f>
        <v>0.337681167847316</v>
      </c>
      <c r="I9" s="12" t="n">
        <f aca="false">AVERAGE('월별증감률(전월비)'!H9,'월별증감률(전월비)'!T9,'월별증감률(전월비)'!AF9,'월별증감률(전월비)'!AR9,'월별증감률(전월비)'!BD9)</f>
        <v>1.27332377661622</v>
      </c>
      <c r="J9" s="12" t="n">
        <f aca="false">AVERAGE('월별증감률(전월비)'!I9,'월별증감률(전월비)'!U9,'월별증감률(전월비)'!AG9,'월별증감률(전월비)'!AS9,'월별증감률(전월비)'!BE9)</f>
        <v>0.0344082292451033</v>
      </c>
      <c r="K9" s="12" t="n">
        <f aca="false">AVERAGE('월별증감률(전월비)'!J9,'월별증감률(전월비)'!V9,'월별증감률(전월비)'!AH9,'월별증감률(전월비)'!AT9,'월별증감률(전월비)'!BF9)</f>
        <v>0.133954040750466</v>
      </c>
      <c r="L9" s="12" t="n">
        <f aca="false">AVERAGE('월별증감률(전월비)'!K9,'월별증감률(전월비)'!W9,'월별증감률(전월비)'!AI9,'월별증감률(전월비)'!AU9,'월별증감률(전월비)'!BG9)</f>
        <v>-0.259651531088695</v>
      </c>
      <c r="M9" s="12" t="n">
        <f aca="false">AVERAGE('월별증감률(전월비)'!L9,'월별증감률(전월비)'!X9,'월별증감률(전월비)'!AJ9,'월별증감률(전월비)'!AV9,'월별증감률(전월비)'!BH9)</f>
        <v>-0.473583144105639</v>
      </c>
      <c r="N9" s="12" t="n">
        <f aca="false">AVERAGE('월별증감률(전월비)'!M9,'월별증감률(전월비)'!Y9,'월별증감률(전월비)'!AK9,'월별증감률(전월비)'!AW9,'월별증감률(전월비)'!BI9)</f>
        <v>0.0524984128101677</v>
      </c>
      <c r="O9" s="15" t="str">
        <f aca="false">INDEX($C$1:$N$1,MATCH(MAX(C9:N9),C9:N9,0))</f>
        <v>7월</v>
      </c>
      <c r="P9" s="16" t="n">
        <f aca="false">MAX(C9:N9)</f>
        <v>1.27332377661622</v>
      </c>
      <c r="Q9" s="17" t="str">
        <f aca="false">INDEX($C$1:$N$1,MATCH(MIN(C9:N9),C9:N9,0))</f>
        <v>11월</v>
      </c>
      <c r="R9" s="18" t="n">
        <f aca="false">MIN(C9:N9)</f>
        <v>-0.473583144105639</v>
      </c>
    </row>
    <row r="10" customFormat="false" ht="15" hidden="false" customHeight="false" outlineLevel="0" collapsed="false">
      <c r="A10" s="8" t="s">
        <v>93</v>
      </c>
      <c r="B10" s="9" t="s">
        <v>97</v>
      </c>
      <c r="C10" s="12" t="n">
        <f aca="false">AVERAGE('월별증감률(전월비)'!N10,'월별증감률(전월비)'!Z10,'월별증감률(전월비)'!AL10,'월별증감률(전월비)'!AX10,'월별증감률(전월비)'!BJ10)</f>
        <v>0.0834682879929611</v>
      </c>
      <c r="D10" s="12" t="n">
        <f aca="false">AVERAGE('월별증감률(전월비)'!C10,'월별증감률(전월비)'!O10,'월별증감률(전월비)'!AA10,'월별증감률(전월비)'!AM10,'월별증감률(전월비)'!AY10,'월별증감률(전월비)'!BK10)</f>
        <v>-0.0445095802132768</v>
      </c>
      <c r="E10" s="12" t="n">
        <f aca="false">AVERAGE('월별증감률(전월비)'!D10,'월별증감률(전월비)'!P10,'월별증감률(전월비)'!AB10,'월별증감률(전월비)'!AN10,'월별증감률(전월비)'!AZ10,'월별증감률(전월비)'!BL10)</f>
        <v>-0.209063589967744</v>
      </c>
      <c r="F10" s="12" t="n">
        <f aca="false">AVERAGE('월별증감률(전월비)'!E10,'월별증감률(전월비)'!Q10,'월별증감률(전월비)'!AC10,'월별증감률(전월비)'!AO10,'월별증감률(전월비)'!BA10,'월별증감률(전월비)'!BM10)</f>
        <v>-0.321070164652954</v>
      </c>
      <c r="G10" s="12" t="n">
        <f aca="false">AVERAGE('월별증감률(전월비)'!F10,'월별증감률(전월비)'!R10,'월별증감률(전월비)'!AD10,'월별증감률(전월비)'!AP10,'월별증감률(전월비)'!BB10,'월별증감률(전월비)'!BN10)</f>
        <v>-0.293995094361544</v>
      </c>
      <c r="H10" s="12" t="n">
        <f aca="false">AVERAGE('월별증감률(전월비)'!G10,'월별증감률(전월비)'!S10,'월별증감률(전월비)'!AE10,'월별증감률(전월비)'!AQ10,'월별증감률(전월비)'!BC10)</f>
        <v>-0.20776315803285</v>
      </c>
      <c r="I10" s="12" t="n">
        <f aca="false">AVERAGE('월별증감률(전월비)'!H10,'월별증감률(전월비)'!T10,'월별증감률(전월비)'!AF10,'월별증감률(전월비)'!AR10,'월별증감률(전월비)'!BD10)</f>
        <v>0.458404408333161</v>
      </c>
      <c r="J10" s="12" t="n">
        <f aca="false">AVERAGE('월별증감률(전월비)'!I10,'월별증감률(전월비)'!U10,'월별증감률(전월비)'!AG10,'월별증감률(전월비)'!AS10,'월별증감률(전월비)'!BE10)</f>
        <v>0.739878915285685</v>
      </c>
      <c r="K10" s="12" t="n">
        <f aca="false">AVERAGE('월별증감률(전월비)'!J10,'월별증감률(전월비)'!V10,'월별증감률(전월비)'!AH10,'월별증감률(전월비)'!AT10,'월별증감률(전월비)'!BF10)</f>
        <v>-0.185273626496395</v>
      </c>
      <c r="L10" s="12" t="n">
        <f aca="false">AVERAGE('월별증감률(전월비)'!K10,'월별증감률(전월비)'!W10,'월별증감률(전월비)'!AI10,'월별증감률(전월비)'!AU10,'월별증감률(전월비)'!BG10)</f>
        <v>0.246605520095199</v>
      </c>
      <c r="M10" s="12" t="n">
        <f aca="false">AVERAGE('월별증감률(전월비)'!L10,'월별증감률(전월비)'!X10,'월별증감률(전월비)'!AJ10,'월별증감률(전월비)'!AV10,'월별증감률(전월비)'!BH10)</f>
        <v>0.577190716514515</v>
      </c>
      <c r="N10" s="12" t="n">
        <f aca="false">AVERAGE('월별증감률(전월비)'!M10,'월별증감률(전월비)'!Y10,'월별증감률(전월비)'!AK10,'월별증감률(전월비)'!AW10,'월별증감률(전월비)'!BI10)</f>
        <v>-0.00324929598154624</v>
      </c>
      <c r="O10" s="15" t="str">
        <f aca="false">INDEX($C$1:$N$1,MATCH(MAX(C10:N10),C10:N10,0))</f>
        <v>8월</v>
      </c>
      <c r="P10" s="16" t="n">
        <f aca="false">MAX(C10:N10)</f>
        <v>0.739878915285685</v>
      </c>
      <c r="Q10" s="17" t="str">
        <f aca="false">INDEX($C$1:$N$1,MATCH(MIN(C10:N10),C10:N10,0))</f>
        <v>4월</v>
      </c>
      <c r="R10" s="18" t="n">
        <f aca="false">MIN(C10:N10)</f>
        <v>-0.321070164652954</v>
      </c>
    </row>
    <row r="11" customFormat="false" ht="15" hidden="false" customHeight="false" outlineLevel="0" collapsed="false">
      <c r="A11" s="8" t="s">
        <v>93</v>
      </c>
      <c r="B11" s="9" t="s">
        <v>98</v>
      </c>
      <c r="C11" s="12" t="n">
        <f aca="false">AVERAGE('월별증감률(전월비)'!N11,'월별증감률(전월비)'!Z11,'월별증감률(전월비)'!AL11,'월별증감률(전월비)'!AX11,'월별증감률(전월비)'!BJ11)</f>
        <v>0.175015663094867</v>
      </c>
      <c r="D11" s="12" t="n">
        <f aca="false">AVERAGE('월별증감률(전월비)'!C11,'월별증감률(전월비)'!O11,'월별증감률(전월비)'!AA11,'월별증감률(전월비)'!AM11,'월별증감률(전월비)'!AY11,'월별증감률(전월비)'!BK11)</f>
        <v>0.302597537498408</v>
      </c>
      <c r="E11" s="12" t="n">
        <f aca="false">AVERAGE('월별증감률(전월비)'!D11,'월별증감률(전월비)'!P11,'월별증감률(전월비)'!AB11,'월별증감률(전월비)'!AN11,'월별증감률(전월비)'!AZ11,'월별증감률(전월비)'!BL11)</f>
        <v>0.118378409075603</v>
      </c>
      <c r="F11" s="12" t="n">
        <f aca="false">AVERAGE('월별증감률(전월비)'!E11,'월별증감률(전월비)'!Q11,'월별증감률(전월비)'!AC11,'월별증감률(전월비)'!AO11,'월별증감률(전월비)'!BA11,'월별증감률(전월비)'!BM11)</f>
        <v>-0.0771302917308114</v>
      </c>
      <c r="G11" s="12" t="n">
        <f aca="false">AVERAGE('월별증감률(전월비)'!F11,'월별증감률(전월비)'!R11,'월별증감률(전월비)'!AD11,'월별증감률(전월비)'!AP11,'월별증감률(전월비)'!BB11,'월별증감률(전월비)'!BN11)</f>
        <v>-0.0555812525816708</v>
      </c>
      <c r="H11" s="12" t="n">
        <f aca="false">AVERAGE('월별증감률(전월비)'!G11,'월별증감률(전월비)'!S11,'월별증감률(전월비)'!AE11,'월별증감률(전월비)'!AQ11,'월별증감률(전월비)'!BC11)</f>
        <v>-0.164060527098459</v>
      </c>
      <c r="I11" s="12" t="n">
        <f aca="false">AVERAGE('월별증감률(전월비)'!H11,'월별증감률(전월비)'!T11,'월별증감률(전월비)'!AF11,'월별증감률(전월비)'!AR11,'월별증감률(전월비)'!BD11)</f>
        <v>0.345008213493939</v>
      </c>
      <c r="J11" s="12" t="n">
        <f aca="false">AVERAGE('월별증감률(전월비)'!I11,'월별증감률(전월비)'!U11,'월별증감률(전월비)'!AG11,'월별증감률(전월비)'!AS11,'월별증감률(전월비)'!BE11)</f>
        <v>0.156529787610424</v>
      </c>
      <c r="K11" s="12" t="n">
        <f aca="false">AVERAGE('월별증감률(전월비)'!J11,'월별증감률(전월비)'!V11,'월별증감률(전월비)'!AH11,'월별증감률(전월비)'!AT11,'월별증감률(전월비)'!BF11)</f>
        <v>-0.302366855236016</v>
      </c>
      <c r="L11" s="12" t="n">
        <f aca="false">AVERAGE('월별증감률(전월비)'!K11,'월별증감률(전월비)'!W11,'월별증감률(전월비)'!AI11,'월별증감률(전월비)'!AU11,'월별증감률(전월비)'!BG11)</f>
        <v>-0.167256052169666</v>
      </c>
      <c r="M11" s="12" t="n">
        <f aca="false">AVERAGE('월별증감률(전월비)'!L11,'월별증감률(전월비)'!X11,'월별증감률(전월비)'!AJ11,'월별증감률(전월비)'!AV11,'월별증감률(전월비)'!BH11)</f>
        <v>0.147547431152432</v>
      </c>
      <c r="N11" s="12" t="n">
        <f aca="false">AVERAGE('월별증감률(전월비)'!M11,'월별증감률(전월비)'!Y11,'월별증감률(전월비)'!AK11,'월별증감률(전월비)'!AW11,'월별증감률(전월비)'!BI11)</f>
        <v>0.110730372833861</v>
      </c>
      <c r="O11" s="15" t="str">
        <f aca="false">INDEX($C$1:$N$1,MATCH(MAX(C11:N11),C11:N11,0))</f>
        <v>7월</v>
      </c>
      <c r="P11" s="16" t="n">
        <f aca="false">MAX(C11:N11)</f>
        <v>0.345008213493939</v>
      </c>
      <c r="Q11" s="17" t="str">
        <f aca="false">INDEX($C$1:$N$1,MATCH(MIN(C11:N11),C11:N11,0))</f>
        <v>9월</v>
      </c>
      <c r="R11" s="18" t="n">
        <f aca="false">MIN(C11:N11)</f>
        <v>-0.302366855236016</v>
      </c>
    </row>
    <row r="12" customFormat="false" ht="15" hidden="false" customHeight="false" outlineLevel="0" collapsed="false">
      <c r="A12" s="8" t="s">
        <v>93</v>
      </c>
      <c r="B12" s="9" t="s">
        <v>99</v>
      </c>
      <c r="C12" s="12" t="n">
        <f aca="false">AVERAGE('월별증감률(전월비)'!N12,'월별증감률(전월비)'!Z12,'월별증감률(전월비)'!AL12,'월별증감률(전월비)'!AX12,'월별증감률(전월비)'!BJ12)</f>
        <v>0</v>
      </c>
      <c r="D12" s="12" t="n">
        <f aca="false">AVERAGE('월별증감률(전월비)'!C12,'월별증감률(전월비)'!O12,'월별증감률(전월비)'!AA12,'월별증감률(전월비)'!AM12,'월별증감률(전월비)'!AY12,'월별증감률(전월비)'!BK12)</f>
        <v>-0.0244279529993816</v>
      </c>
      <c r="E12" s="12" t="n">
        <f aca="false">AVERAGE('월별증감률(전월비)'!D12,'월별증감률(전월비)'!P12,'월별증감률(전월비)'!AB12,'월별증감률(전월비)'!AN12,'월별증감률(전월비)'!AZ12,'월별증감률(전월비)'!BL12)</f>
        <v>0.898244261329451</v>
      </c>
      <c r="F12" s="12" t="n">
        <f aca="false">AVERAGE('월별증감률(전월비)'!E12,'월별증감률(전월비)'!Q12,'월별증감률(전월비)'!AC12,'월별증감률(전월비)'!AO12,'월별증감률(전월비)'!BA12,'월별증감률(전월비)'!BM12)</f>
        <v>-0.0824675689764557</v>
      </c>
      <c r="G12" s="12" t="n">
        <f aca="false">AVERAGE('월별증감률(전월비)'!F12,'월별증감률(전월비)'!R12,'월별증감률(전월비)'!AD12,'월별증감률(전월비)'!AP12,'월별증감률(전월비)'!BB12,'월별증감률(전월비)'!BN12)</f>
        <v>-0.410307585377421</v>
      </c>
      <c r="H12" s="12" t="n">
        <f aca="false">AVERAGE('월별증감률(전월비)'!G12,'월별증감률(전월비)'!S12,'월별증감률(전월비)'!AE12,'월별증감률(전월비)'!AQ12,'월별증감률(전월비)'!BC12)</f>
        <v>-0.0905584352863527</v>
      </c>
      <c r="I12" s="12" t="n">
        <f aca="false">AVERAGE('월별증감률(전월비)'!H12,'월별증감률(전월비)'!T12,'월별증감률(전월비)'!AF12,'월별증감률(전월비)'!AR12,'월별증감률(전월비)'!BD12)</f>
        <v>-0.148370156691296</v>
      </c>
      <c r="J12" s="12" t="n">
        <f aca="false">AVERAGE('월별증감률(전월비)'!I12,'월별증감률(전월비)'!U12,'월별증감률(전월비)'!AG12,'월별증감률(전월비)'!AS12,'월별증감률(전월비)'!BE12)</f>
        <v>0.357169148794194</v>
      </c>
      <c r="K12" s="12" t="n">
        <f aca="false">AVERAGE('월별증감률(전월비)'!J12,'월별증감률(전월비)'!V12,'월별증감률(전월비)'!AH12,'월별증감률(전월비)'!AT12,'월별증감률(전월비)'!BF12)</f>
        <v>-0.0346835443037975</v>
      </c>
      <c r="L12" s="12" t="n">
        <f aca="false">AVERAGE('월별증감률(전월비)'!K12,'월별증감률(전월비)'!W12,'월별증감률(전월비)'!AI12,'월별증감률(전월비)'!AU12,'월별증감률(전월비)'!BG12)</f>
        <v>0</v>
      </c>
      <c r="M12" s="12" t="n">
        <f aca="false">AVERAGE('월별증감률(전월비)'!L12,'월별증감률(전월비)'!X12,'월별증감률(전월비)'!AJ12,'월별증감률(전월비)'!AV12,'월별증감률(전월비)'!BH12)</f>
        <v>0</v>
      </c>
      <c r="N12" s="12" t="n">
        <f aca="false">AVERAGE('월별증감률(전월비)'!M12,'월별증감률(전월비)'!Y12,'월별증감률(전월비)'!AK12,'월별증감률(전월비)'!AW12,'월별증감률(전월비)'!BI12)</f>
        <v>0</v>
      </c>
      <c r="O12" s="15" t="str">
        <f aca="false">INDEX($C$1:$N$1,MATCH(MAX(C12:N12),C12:N12,0))</f>
        <v>3월</v>
      </c>
      <c r="P12" s="16" t="n">
        <f aca="false">MAX(C12:N12)</f>
        <v>0.898244261329451</v>
      </c>
      <c r="Q12" s="17" t="str">
        <f aca="false">INDEX($C$1:$N$1,MATCH(MIN(C12:N12),C12:N12,0))</f>
        <v>5월</v>
      </c>
      <c r="R12" s="18" t="n">
        <f aca="false">MIN(C12:N12)</f>
        <v>-0.410307585377421</v>
      </c>
    </row>
    <row r="13" customFormat="false" ht="15" hidden="false" customHeight="false" outlineLevel="0" collapsed="false">
      <c r="A13" s="8" t="s">
        <v>93</v>
      </c>
      <c r="B13" s="9" t="s">
        <v>100</v>
      </c>
      <c r="C13" s="12" t="n">
        <f aca="false">AVERAGE('월별증감률(전월비)'!N13,'월별증감률(전월비)'!Z13,'월별증감률(전월비)'!AL13,'월별증감률(전월비)'!AX13,'월별증감률(전월비)'!BJ13)</f>
        <v>0.22776043691168</v>
      </c>
      <c r="D13" s="12" t="n">
        <f aca="false">AVERAGE('월별증감률(전월비)'!C13,'월별증감률(전월비)'!O13,'월별증감률(전월비)'!AA13,'월별증감률(전월비)'!AM13,'월별증감률(전월비)'!AY13,'월별증감률(전월비)'!BK13)</f>
        <v>-0.0794918707995856</v>
      </c>
      <c r="E13" s="12" t="n">
        <f aca="false">AVERAGE('월별증감률(전월비)'!D13,'월별증감률(전월비)'!P13,'월별증감률(전월비)'!AB13,'월별증감률(전월비)'!AN13,'월별증감률(전월비)'!AZ13,'월별증감률(전월비)'!BL13)</f>
        <v>-0.163042881115675</v>
      </c>
      <c r="F13" s="12" t="n">
        <f aca="false">AVERAGE('월별증감률(전월비)'!E13,'월별증감률(전월비)'!Q13,'월별증감률(전월비)'!AC13,'월별증감률(전월비)'!AO13,'월별증감률(전월비)'!BA13,'월별증감률(전월비)'!BM13)</f>
        <v>-0.362302836458096</v>
      </c>
      <c r="G13" s="12" t="n">
        <f aca="false">AVERAGE('월별증감률(전월비)'!F13,'월별증감률(전월비)'!R13,'월별증감률(전월비)'!AD13,'월별증감률(전월비)'!AP13,'월별증감률(전월비)'!BB13,'월별증감률(전월비)'!BN13)</f>
        <v>-0.20691881166733</v>
      </c>
      <c r="H13" s="12" t="n">
        <f aca="false">AVERAGE('월별증감률(전월비)'!G13,'월별증감률(전월비)'!S13,'월별증감률(전월비)'!AE13,'월별증감률(전월비)'!AQ13,'월별증감률(전월비)'!BC13)</f>
        <v>0.0231539612796147</v>
      </c>
      <c r="I13" s="12" t="n">
        <f aca="false">AVERAGE('월별증감률(전월비)'!H13,'월별증감률(전월비)'!T13,'월별증감률(전월비)'!AF13,'월별증감률(전월비)'!AR13,'월별증감률(전월비)'!BD13)</f>
        <v>0.579875179668166</v>
      </c>
      <c r="J13" s="12" t="n">
        <f aca="false">AVERAGE('월별증감률(전월비)'!I13,'월별증감률(전월비)'!U13,'월별증감률(전월비)'!AG13,'월별증감률(전월비)'!AS13,'월별증감률(전월비)'!BE13)</f>
        <v>0.22374510767966</v>
      </c>
      <c r="K13" s="12" t="n">
        <f aca="false">AVERAGE('월별증감률(전월비)'!J13,'월별증감률(전월비)'!V13,'월별증감률(전월비)'!AH13,'월별증감률(전월비)'!AT13,'월별증감률(전월비)'!BF13)</f>
        <v>0.00798193394952815</v>
      </c>
      <c r="L13" s="12" t="n">
        <f aca="false">AVERAGE('월별증감률(전월비)'!K13,'월별증감률(전월비)'!W13,'월별증감률(전월비)'!AI13,'월별증감률(전월비)'!AU13,'월별증감률(전월비)'!BG13)</f>
        <v>-0.0653139978490556</v>
      </c>
      <c r="M13" s="12" t="n">
        <f aca="false">AVERAGE('월별증감률(전월비)'!L13,'월별증감률(전월비)'!X13,'월별증감률(전월비)'!AJ13,'월별증감률(전월비)'!AV13,'월별증감률(전월비)'!BH13)</f>
        <v>0.0269995531794675</v>
      </c>
      <c r="N13" s="12" t="n">
        <f aca="false">AVERAGE('월별증감률(전월비)'!M13,'월별증감률(전월비)'!Y13,'월별증감률(전월비)'!AK13,'월별증감률(전월비)'!AW13,'월별증감률(전월비)'!BI13)</f>
        <v>0.237134353627082</v>
      </c>
      <c r="O13" s="15" t="str">
        <f aca="false">INDEX($C$1:$N$1,MATCH(MAX(C13:N13),C13:N13,0))</f>
        <v>7월</v>
      </c>
      <c r="P13" s="16" t="n">
        <f aca="false">MAX(C13:N13)</f>
        <v>0.579875179668166</v>
      </c>
      <c r="Q13" s="17" t="str">
        <f aca="false">INDEX($C$1:$N$1,MATCH(MIN(C13:N13),C13:N13,0))</f>
        <v>4월</v>
      </c>
      <c r="R13" s="18" t="n">
        <f aca="false">MIN(C13:N13)</f>
        <v>-0.362302836458096</v>
      </c>
    </row>
    <row r="14" customFormat="false" ht="15" hidden="false" customHeight="false" outlineLevel="0" collapsed="false">
      <c r="A14" s="8" t="s">
        <v>93</v>
      </c>
      <c r="B14" s="9" t="s">
        <v>101</v>
      </c>
      <c r="C14" s="12" t="n">
        <f aca="false">AVERAGE('월별증감률(전월비)'!N14,'월별증감률(전월비)'!Z14,'월별증감률(전월비)'!AL14,'월별증감률(전월비)'!AX14,'월별증감률(전월비)'!BJ14)</f>
        <v>0.329217598225947</v>
      </c>
      <c r="D14" s="12" t="n">
        <f aca="false">AVERAGE('월별증감률(전월비)'!C14,'월별증감률(전월비)'!O14,'월별증감률(전월비)'!AA14,'월별증감률(전월비)'!AM14,'월별증감률(전월비)'!AY14,'월별증감률(전월비)'!BK14)</f>
        <v>0.0120803148280353</v>
      </c>
      <c r="E14" s="12" t="n">
        <f aca="false">AVERAGE('월별증감률(전월비)'!D14,'월별증감률(전월비)'!P14,'월별증감률(전월비)'!AB14,'월별증감률(전월비)'!AN14,'월별증감률(전월비)'!AZ14,'월별증감률(전월비)'!BL14)</f>
        <v>-0.124699707660611</v>
      </c>
      <c r="F14" s="12" t="n">
        <f aca="false">AVERAGE('월별증감률(전월비)'!E14,'월별증감률(전월비)'!Q14,'월별증감률(전월비)'!AC14,'월별증감률(전월비)'!AO14,'월별증감률(전월비)'!BA14,'월별증감률(전월비)'!BM14)</f>
        <v>-0.375544354101805</v>
      </c>
      <c r="G14" s="12" t="n">
        <f aca="false">AVERAGE('월별증감률(전월비)'!F14,'월별증감률(전월비)'!R14,'월별증감률(전월비)'!AD14,'월별증감률(전월비)'!AP14,'월별증감률(전월비)'!BB14,'월별증감률(전월비)'!BN14)</f>
        <v>-0.112231941390762</v>
      </c>
      <c r="H14" s="12" t="n">
        <f aca="false">AVERAGE('월별증감률(전월비)'!G14,'월별증감률(전월비)'!S14,'월별증감률(전월비)'!AE14,'월별증감률(전월비)'!AQ14,'월별증감률(전월비)'!BC14)</f>
        <v>-0.00303416498689757</v>
      </c>
      <c r="I14" s="12" t="n">
        <f aca="false">AVERAGE('월별증감률(전월비)'!H14,'월별증감률(전월비)'!T14,'월별증감률(전월비)'!AF14,'월별증감률(전월비)'!AR14,'월별증감률(전월비)'!BD14)</f>
        <v>0.134120831272229</v>
      </c>
      <c r="J14" s="12" t="n">
        <f aca="false">AVERAGE('월별증감률(전월비)'!I14,'월별증감률(전월비)'!U14,'월별증감률(전월비)'!AG14,'월별증감률(전월비)'!AS14,'월별증감률(전월비)'!BE14)</f>
        <v>0.453919678008594</v>
      </c>
      <c r="K14" s="12" t="n">
        <f aca="false">AVERAGE('월별증감률(전월비)'!J14,'월별증감률(전월비)'!V14,'월별증감률(전월비)'!AH14,'월별증감률(전월비)'!AT14,'월별증감률(전월비)'!BF14)</f>
        <v>0.130373990559457</v>
      </c>
      <c r="L14" s="12" t="n">
        <f aca="false">AVERAGE('월별증감률(전월비)'!K14,'월별증감률(전월비)'!W14,'월별증감률(전월비)'!AI14,'월별증감률(전월비)'!AU14,'월별증감률(전월비)'!BG14)</f>
        <v>-0.0646478026940322</v>
      </c>
      <c r="M14" s="12" t="n">
        <f aca="false">AVERAGE('월별증감률(전월비)'!L14,'월별증감률(전월비)'!X14,'월별증감률(전월비)'!AJ14,'월별증감률(전월비)'!AV14,'월별증감률(전월비)'!BH14)</f>
        <v>-0.157386778903564</v>
      </c>
      <c r="N14" s="12" t="n">
        <f aca="false">AVERAGE('월별증감률(전월비)'!M14,'월별증감률(전월비)'!Y14,'월별증감률(전월비)'!AK14,'월별증감률(전월비)'!AW14,'월별증감률(전월비)'!BI14)</f>
        <v>0.214610902264148</v>
      </c>
      <c r="O14" s="15" t="str">
        <f aca="false">INDEX($C$1:$N$1,MATCH(MAX(C14:N14),C14:N14,0))</f>
        <v>8월</v>
      </c>
      <c r="P14" s="16" t="n">
        <f aca="false">MAX(C14:N14)</f>
        <v>0.453919678008594</v>
      </c>
      <c r="Q14" s="17" t="str">
        <f aca="false">INDEX($C$1:$N$1,MATCH(MIN(C14:N14),C14:N14,0))</f>
        <v>4월</v>
      </c>
      <c r="R14" s="18" t="n">
        <f aca="false">MIN(C14:N14)</f>
        <v>-0.375544354101805</v>
      </c>
    </row>
    <row r="15" customFormat="false" ht="15" hidden="false" customHeight="false" outlineLevel="0" collapsed="false">
      <c r="A15" s="8" t="s">
        <v>93</v>
      </c>
      <c r="B15" s="9" t="s">
        <v>102</v>
      </c>
      <c r="C15" s="12" t="n">
        <f aca="false">AVERAGE('월별증감률(전월비)'!N15,'월별증감률(전월비)'!Z15,'월별증감률(전월비)'!AL15,'월별증감률(전월비)'!AX15,'월별증감률(전월비)'!BJ15)</f>
        <v>0.0174802348283877</v>
      </c>
      <c r="D15" s="12" t="n">
        <f aca="false">AVERAGE('월별증감률(전월비)'!C15,'월별증감률(전월비)'!O15,'월별증감률(전월비)'!AA15,'월별증감률(전월비)'!AM15,'월별증감률(전월비)'!AY15,'월별증감률(전월비)'!BK15)</f>
        <v>0.019832097849969</v>
      </c>
      <c r="E15" s="12" t="n">
        <f aca="false">AVERAGE('월별증감률(전월비)'!D15,'월별증감률(전월비)'!P15,'월별증감률(전월비)'!AB15,'월별증감률(전월비)'!AN15,'월별증감률(전월비)'!AZ15,'월별증감률(전월비)'!BL15)</f>
        <v>0.0853448903067143</v>
      </c>
      <c r="F15" s="12" t="n">
        <f aca="false">AVERAGE('월별증감률(전월비)'!E15,'월별증감률(전월비)'!Q15,'월별증감률(전월비)'!AC15,'월별증감률(전월비)'!AO15,'월별증감률(전월비)'!BA15,'월별증감률(전월비)'!BM15)</f>
        <v>-0.145234392170033</v>
      </c>
      <c r="G15" s="12" t="n">
        <f aca="false">AVERAGE('월별증감률(전월비)'!F15,'월별증감률(전월비)'!R15,'월별증감률(전월비)'!AD15,'월별증감률(전월비)'!AP15,'월별증감률(전월비)'!BB15,'월별증감률(전월비)'!BN15)</f>
        <v>-0.189911872198943</v>
      </c>
      <c r="H15" s="12" t="n">
        <f aca="false">AVERAGE('월별증감률(전월비)'!G15,'월별증감률(전월비)'!S15,'월별증감률(전월비)'!AE15,'월별증감률(전월비)'!AQ15,'월별증감률(전월비)'!BC15)</f>
        <v>-0.108399076143099</v>
      </c>
      <c r="I15" s="12" t="n">
        <f aca="false">AVERAGE('월별증감률(전월비)'!H15,'월별증감률(전월비)'!T15,'월별증감률(전월비)'!AF15,'월별증감률(전월비)'!AR15,'월별증감률(전월비)'!BD15)</f>
        <v>0.185368403819741</v>
      </c>
      <c r="J15" s="12" t="n">
        <f aca="false">AVERAGE('월별증감률(전월비)'!I15,'월별증감률(전월비)'!U15,'월별증감률(전월비)'!AG15,'월별증감률(전월비)'!AS15,'월별증감률(전월비)'!BE15)</f>
        <v>0.185166878505995</v>
      </c>
      <c r="K15" s="12" t="n">
        <f aca="false">AVERAGE('월별증감률(전월비)'!J15,'월별증감률(전월비)'!V15,'월별증감률(전월비)'!AH15,'월별증감률(전월비)'!AT15,'월별증감률(전월비)'!BF15)</f>
        <v>0.288527156461786</v>
      </c>
      <c r="L15" s="12" t="n">
        <f aca="false">AVERAGE('월별증감률(전월비)'!K15,'월별증감률(전월비)'!W15,'월별증감률(전월비)'!AI15,'월별증감률(전월비)'!AU15,'월별증감률(전월비)'!BG15)</f>
        <v>0.00756692691691945</v>
      </c>
      <c r="M15" s="12" t="n">
        <f aca="false">AVERAGE('월별증감률(전월비)'!L15,'월별증감률(전월비)'!X15,'월별증감률(전월비)'!AJ15,'월별증감률(전월비)'!AV15,'월별증감률(전월비)'!BH15)</f>
        <v>-0.0197255377722446</v>
      </c>
      <c r="N15" s="12" t="n">
        <f aca="false">AVERAGE('월별증감률(전월비)'!M15,'월별증감률(전월비)'!Y15,'월별증감률(전월비)'!AK15,'월별증감률(전월비)'!AW15,'월별증감률(전월비)'!BI15)</f>
        <v>-0.0985371310851311</v>
      </c>
      <c r="O15" s="15" t="str">
        <f aca="false">INDEX($C$1:$N$1,MATCH(MAX(C15:N15),C15:N15,0))</f>
        <v>9월</v>
      </c>
      <c r="P15" s="16" t="n">
        <f aca="false">MAX(C15:N15)</f>
        <v>0.288527156461786</v>
      </c>
      <c r="Q15" s="17" t="str">
        <f aca="false">INDEX($C$1:$N$1,MATCH(MIN(C15:N15),C15:N15,0))</f>
        <v>5월</v>
      </c>
      <c r="R15" s="18" t="n">
        <f aca="false">MIN(C15:N15)</f>
        <v>-0.189911872198943</v>
      </c>
    </row>
    <row r="16" customFormat="false" ht="15" hidden="false" customHeight="false" outlineLevel="0" collapsed="false">
      <c r="A16" s="8" t="s">
        <v>103</v>
      </c>
      <c r="B16" s="9" t="s">
        <v>104</v>
      </c>
      <c r="C16" s="12" t="n">
        <f aca="false">AVERAGE('월별증감률(전월비)'!N16,'월별증감률(전월비)'!Z16,'월별증감률(전월비)'!AL16,'월별증감률(전월비)'!AX16,'월별증감률(전월비)'!BJ16)</f>
        <v>0.0826435741797417</v>
      </c>
      <c r="D16" s="12" t="n">
        <f aca="false">AVERAGE('월별증감률(전월비)'!C16,'월별증감률(전월비)'!O16,'월별증감률(전월비)'!AA16,'월별증감률(전월비)'!AM16,'월별증감률(전월비)'!AY16,'월별증감률(전월비)'!BK16)</f>
        <v>-0.197203899646991</v>
      </c>
      <c r="E16" s="12" t="n">
        <f aca="false">AVERAGE('월별증감률(전월비)'!D16,'월별증감률(전월비)'!P16,'월별증감률(전월비)'!AB16,'월별증감률(전월비)'!AN16,'월별증감률(전월비)'!AZ16,'월별증감률(전월비)'!BL16)</f>
        <v>-0.305902747147539</v>
      </c>
      <c r="F16" s="12" t="n">
        <f aca="false">AVERAGE('월별증감률(전월비)'!E16,'월별증감률(전월비)'!Q16,'월별증감률(전월비)'!AC16,'월별증감률(전월비)'!AO16,'월별증감률(전월비)'!BA16,'월별증감률(전월비)'!BM16)</f>
        <v>-0.175377204459872</v>
      </c>
      <c r="G16" s="12" t="n">
        <f aca="false">AVERAGE('월별증감률(전월비)'!F16,'월별증감률(전월비)'!R16,'월별증감률(전월비)'!AD16,'월별증감률(전월비)'!AP16,'월별증감률(전월비)'!BB16,'월별증감률(전월비)'!BN16)</f>
        <v>-0.00724777179195561</v>
      </c>
      <c r="H16" s="12" t="n">
        <f aca="false">AVERAGE('월별증감률(전월비)'!G16,'월별증감률(전월비)'!S16,'월별증감률(전월비)'!AE16,'월별증감률(전월비)'!AQ16,'월별증감률(전월비)'!BC16)</f>
        <v>0</v>
      </c>
      <c r="I16" s="12" t="n">
        <f aca="false">AVERAGE('월별증감률(전월비)'!H16,'월별증감률(전월비)'!T16,'월별증감률(전월비)'!AF16,'월별증감률(전월비)'!AR16,'월별증감률(전월비)'!BD16)</f>
        <v>0</v>
      </c>
      <c r="J16" s="12" t="n">
        <f aca="false">AVERAGE('월별증감률(전월비)'!I16,'월별증감률(전월비)'!U16,'월별증감률(전월비)'!AG16,'월별증감률(전월비)'!AS16,'월별증감률(전월비)'!BE16)</f>
        <v>0</v>
      </c>
      <c r="K16" s="12" t="n">
        <f aca="false">AVERAGE('월별증감률(전월비)'!J16,'월별증감률(전월비)'!V16,'월별증감률(전월비)'!AH16,'월별증감률(전월비)'!AT16,'월별증감률(전월비)'!BF16)</f>
        <v>0</v>
      </c>
      <c r="L16" s="12" t="n">
        <f aca="false">AVERAGE('월별증감률(전월비)'!K16,'월별증감률(전월비)'!W16,'월별증감률(전월비)'!AI16,'월별증감률(전월비)'!AU16,'월별증감률(전월비)'!BG16)</f>
        <v>0</v>
      </c>
      <c r="M16" s="12" t="n">
        <f aca="false">AVERAGE('월별증감률(전월비)'!L16,'월별증감률(전월비)'!X16,'월별증감률(전월비)'!AJ16,'월별증감률(전월비)'!AV16,'월별증감률(전월비)'!BH16)</f>
        <v>0</v>
      </c>
      <c r="N16" s="12" t="n">
        <f aca="false">AVERAGE('월별증감률(전월비)'!M16,'월별증감률(전월비)'!Y16,'월별증감률(전월비)'!AK16,'월별증감률(전월비)'!AW16,'월별증감률(전월비)'!BI16)</f>
        <v>1.34462692733707</v>
      </c>
      <c r="O16" s="15" t="str">
        <f aca="false">INDEX($C$1:$N$1,MATCH(MAX(C16:N16),C16:N16,0))</f>
        <v>12월</v>
      </c>
      <c r="P16" s="16" t="n">
        <f aca="false">MAX(C16:N16)</f>
        <v>1.34462692733707</v>
      </c>
      <c r="Q16" s="17" t="str">
        <f aca="false">INDEX($C$1:$N$1,MATCH(MIN(C16:N16),C16:N16,0))</f>
        <v>3월</v>
      </c>
      <c r="R16" s="18" t="n">
        <f aca="false">MIN(C16:N16)</f>
        <v>-0.305902747147539</v>
      </c>
    </row>
    <row r="17" customFormat="false" ht="15" hidden="false" customHeight="false" outlineLevel="0" collapsed="false">
      <c r="A17" s="8" t="s">
        <v>103</v>
      </c>
      <c r="B17" s="9" t="s">
        <v>105</v>
      </c>
      <c r="C17" s="12" t="n">
        <f aca="false">AVERAGE('월별증감률(전월비)'!N17,'월별증감률(전월비)'!Z17,'월별증감률(전월비)'!AL17,'월별증감률(전월비)'!AX17,'월별증감률(전월비)'!BJ17)</f>
        <v>0.504675793488212</v>
      </c>
      <c r="D17" s="12" t="n">
        <f aca="false">AVERAGE('월별증감률(전월비)'!C17,'월별증감률(전월비)'!O17,'월별증감률(전월비)'!AA17,'월별증감률(전월비)'!AM17,'월별증감률(전월비)'!AY17,'월별증감률(전월비)'!BK17)</f>
        <v>0.132103570149344</v>
      </c>
      <c r="E17" s="12" t="n">
        <f aca="false">AVERAGE('월별증감률(전월비)'!D17,'월별증감률(전월비)'!P17,'월별증감률(전월비)'!AB17,'월별증감률(전월비)'!AN17,'월별증감률(전월비)'!AZ17,'월별증감률(전월비)'!BL17)</f>
        <v>-0.11335146785843</v>
      </c>
      <c r="F17" s="12" t="n">
        <f aca="false">AVERAGE('월별증감률(전월비)'!E17,'월별증감률(전월비)'!Q17,'월별증감률(전월비)'!AC17,'월별증감률(전월비)'!AO17,'월별증감률(전월비)'!BA17,'월별증감률(전월비)'!BM17)</f>
        <v>-0.20185057696664</v>
      </c>
      <c r="G17" s="12" t="n">
        <f aca="false">AVERAGE('월별증감률(전월비)'!F17,'월별증감률(전월비)'!R17,'월별증감률(전월비)'!AD17,'월별증감률(전월비)'!AP17,'월별증감률(전월비)'!BB17,'월별증감률(전월비)'!BN17)</f>
        <v>-0.172328812672772</v>
      </c>
      <c r="H17" s="12" t="n">
        <f aca="false">AVERAGE('월별증감률(전월비)'!G17,'월별증감률(전월비)'!S17,'월별증감률(전월비)'!AE17,'월별증감률(전월비)'!AQ17,'월별증감률(전월비)'!BC17)</f>
        <v>-0.193401148909904</v>
      </c>
      <c r="I17" s="12" t="n">
        <f aca="false">AVERAGE('월별증감률(전월비)'!H17,'월별증감률(전월비)'!T17,'월별증감률(전월비)'!AF17,'월별증감률(전월비)'!AR17,'월별증감률(전월비)'!BD17)</f>
        <v>-0.10593512645955</v>
      </c>
      <c r="J17" s="12" t="n">
        <f aca="false">AVERAGE('월별증감률(전월비)'!I17,'월별증감률(전월비)'!U17,'월별증감률(전월비)'!AG17,'월별증감률(전월비)'!AS17,'월별증감률(전월비)'!BE17)</f>
        <v>1.03168664107789</v>
      </c>
      <c r="K17" s="12" t="n">
        <f aca="false">AVERAGE('월별증감률(전월비)'!J17,'월별증감률(전월비)'!V17,'월별증감률(전월비)'!AH17,'월별증감률(전월비)'!AT17,'월별증감률(전월비)'!BF17)</f>
        <v>0.194571894997732</v>
      </c>
      <c r="L17" s="12" t="n">
        <f aca="false">AVERAGE('월별증감률(전월비)'!K17,'월별증감률(전월비)'!W17,'월별증감률(전월비)'!AI17,'월별증감률(전월비)'!AU17,'월별증감률(전월비)'!BG17)</f>
        <v>-0.173178909567564</v>
      </c>
      <c r="M17" s="12" t="n">
        <f aca="false">AVERAGE('월별증감률(전월비)'!L17,'월별증감률(전월비)'!X17,'월별증감률(전월비)'!AJ17,'월별증감률(전월비)'!AV17,'월별증감률(전월비)'!BH17)</f>
        <v>-0.316423031941561</v>
      </c>
      <c r="N17" s="12" t="n">
        <f aca="false">AVERAGE('월별증감률(전월비)'!M17,'월별증감률(전월비)'!Y17,'월별증감률(전월비)'!AK17,'월별증감률(전월비)'!AW17,'월별증감률(전월비)'!BI17)</f>
        <v>0.185011207063001</v>
      </c>
      <c r="O17" s="15" t="str">
        <f aca="false">INDEX($C$1:$N$1,MATCH(MAX(C17:N17),C17:N17,0))</f>
        <v>8월</v>
      </c>
      <c r="P17" s="16" t="n">
        <f aca="false">MAX(C17:N17)</f>
        <v>1.03168664107789</v>
      </c>
      <c r="Q17" s="17" t="str">
        <f aca="false">INDEX($C$1:$N$1,MATCH(MIN(C17:N17),C17:N17,0))</f>
        <v>11월</v>
      </c>
      <c r="R17" s="18" t="n">
        <f aca="false">MIN(C17:N17)</f>
        <v>-0.316423031941561</v>
      </c>
    </row>
    <row r="18" customFormat="false" ht="15" hidden="false" customHeight="false" outlineLevel="0" collapsed="false">
      <c r="A18" s="8" t="s">
        <v>103</v>
      </c>
      <c r="B18" s="9" t="s">
        <v>106</v>
      </c>
      <c r="C18" s="12" t="n">
        <f aca="false">AVERAGE('월별증감률(전월비)'!N18,'월별증감률(전월비)'!Z18,'월별증감률(전월비)'!AL18,'월별증감률(전월비)'!AX18,'월별증감률(전월비)'!BJ18)</f>
        <v>0.0981227148584452</v>
      </c>
      <c r="D18" s="12" t="n">
        <f aca="false">AVERAGE('월별증감률(전월비)'!C18,'월별증감률(전월비)'!O18,'월별증감률(전월비)'!AA18,'월별증감률(전월비)'!AM18,'월별증감률(전월비)'!AY18,'월별증감률(전월비)'!BK18)</f>
        <v>0.0214618752410369</v>
      </c>
      <c r="E18" s="12" t="n">
        <f aca="false">AVERAGE('월별증감률(전월비)'!D18,'월별증감률(전월비)'!P18,'월별증감률(전월비)'!AB18,'월별증감률(전월비)'!AN18,'월별증감률(전월비)'!AZ18,'월별증감률(전월비)'!BL18)</f>
        <v>-0.0683811198721983</v>
      </c>
      <c r="F18" s="12" t="n">
        <f aca="false">AVERAGE('월별증감률(전월비)'!E18,'월별증감률(전월비)'!Q18,'월별증감률(전월비)'!AC18,'월별증감률(전월비)'!AO18,'월별증감률(전월비)'!BA18,'월별증감률(전월비)'!BM18)</f>
        <v>0.0307316456160504</v>
      </c>
      <c r="G18" s="12" t="n">
        <f aca="false">AVERAGE('월별증감률(전월비)'!F18,'월별증감률(전월비)'!R18,'월별증감률(전월비)'!AD18,'월별증감률(전월비)'!AP18,'월별증감률(전월비)'!BB18,'월별증감률(전월비)'!BN18)</f>
        <v>-0.0348761183274371</v>
      </c>
      <c r="H18" s="12" t="n">
        <f aca="false">AVERAGE('월별증감률(전월비)'!G18,'월별증감률(전월비)'!S18,'월별증감률(전월비)'!AE18,'월별증감률(전월비)'!AQ18,'월별증감률(전월비)'!BC18)</f>
        <v>0.0427500138260976</v>
      </c>
      <c r="I18" s="12" t="n">
        <f aca="false">AVERAGE('월별증감률(전월비)'!H18,'월별증감률(전월비)'!T18,'월별증감률(전월비)'!AF18,'월별증감률(전월비)'!AR18,'월별증감률(전월비)'!BD18)</f>
        <v>0.161029790536809</v>
      </c>
      <c r="J18" s="12" t="n">
        <f aca="false">AVERAGE('월별증감률(전월비)'!I18,'월별증감률(전월비)'!U18,'월별증감률(전월비)'!AG18,'월별증감률(전월비)'!AS18,'월별증감률(전월비)'!BE18)</f>
        <v>0.274812522576126</v>
      </c>
      <c r="K18" s="12" t="n">
        <f aca="false">AVERAGE('월별증감률(전월비)'!J18,'월별증감률(전월비)'!V18,'월별증감률(전월비)'!AH18,'월별증감률(전월비)'!AT18,'월별증감률(전월비)'!BF18)</f>
        <v>-0.0240139639756094</v>
      </c>
      <c r="L18" s="12" t="n">
        <f aca="false">AVERAGE('월별증감률(전월비)'!K18,'월별증감률(전월비)'!W18,'월별증감률(전월비)'!AI18,'월별증감률(전월비)'!AU18,'월별증감률(전월비)'!BG18)</f>
        <v>-0.0914603613276029</v>
      </c>
      <c r="M18" s="12" t="n">
        <f aca="false">AVERAGE('월별증감률(전월비)'!L18,'월별증감률(전월비)'!X18,'월별증감률(전월비)'!AJ18,'월별증감률(전월비)'!AV18,'월별증감률(전월비)'!BH18)</f>
        <v>-0.140589963889879</v>
      </c>
      <c r="N18" s="12" t="n">
        <f aca="false">AVERAGE('월별증감률(전월비)'!M18,'월별증감률(전월비)'!Y18,'월별증감률(전월비)'!AK18,'월별증감률(전월비)'!AW18,'월별증감률(전월비)'!BI18)</f>
        <v>0.0290819401103628</v>
      </c>
      <c r="O18" s="15" t="str">
        <f aca="false">INDEX($C$1:$N$1,MATCH(MAX(C18:N18),C18:N18,0))</f>
        <v>8월</v>
      </c>
      <c r="P18" s="16" t="n">
        <f aca="false">MAX(C18:N18)</f>
        <v>0.274812522576126</v>
      </c>
      <c r="Q18" s="17" t="str">
        <f aca="false">INDEX($C$1:$N$1,MATCH(MIN(C18:N18),C18:N18,0))</f>
        <v>11월</v>
      </c>
      <c r="R18" s="18" t="n">
        <f aca="false">MIN(C18:N18)</f>
        <v>-0.140589963889879</v>
      </c>
    </row>
    <row r="19" customFormat="false" ht="15" hidden="false" customHeight="false" outlineLevel="0" collapsed="false">
      <c r="A19" s="8" t="s">
        <v>103</v>
      </c>
      <c r="B19" s="9" t="s">
        <v>107</v>
      </c>
      <c r="C19" s="12" t="n">
        <f aca="false">AVERAGE('월별증감률(전월비)'!N19,'월별증감률(전월비)'!Z19,'월별증감률(전월비)'!AL19,'월별증감률(전월비)'!AX19,'월별증감률(전월비)'!BJ19)</f>
        <v>0.712206588538203</v>
      </c>
      <c r="D19" s="12" t="n">
        <f aca="false">AVERAGE('월별증감률(전월비)'!C19,'월별증감률(전월비)'!O19,'월별증감률(전월비)'!AA19,'월별증감률(전월비)'!AM19,'월별증감률(전월비)'!AY19,'월별증감률(전월비)'!BK19)</f>
        <v>0.474741842247029</v>
      </c>
      <c r="E19" s="12" t="n">
        <f aca="false">AVERAGE('월별증감률(전월비)'!D19,'월별증감률(전월비)'!P19,'월별증감률(전월비)'!AB19,'월별증감률(전월비)'!AN19,'월별증감률(전월비)'!AZ19,'월별증감률(전월비)'!BL19)</f>
        <v>-0.200613632131647</v>
      </c>
      <c r="F19" s="12" t="n">
        <f aca="false">AVERAGE('월별증감률(전월비)'!E19,'월별증감률(전월비)'!Q19,'월별증감률(전월비)'!AC19,'월별증감률(전월비)'!AO19,'월별증감률(전월비)'!BA19,'월별증감률(전월비)'!BM19)</f>
        <v>-0.364219359567989</v>
      </c>
      <c r="G19" s="12" t="n">
        <f aca="false">AVERAGE('월별증감률(전월비)'!F19,'월별증감률(전월비)'!R19,'월별증감률(전월비)'!AD19,'월별증감률(전월비)'!AP19,'월별증감률(전월비)'!BB19,'월별증감률(전월비)'!BN19)</f>
        <v>-0.0698482644728081</v>
      </c>
      <c r="H19" s="12" t="n">
        <f aca="false">AVERAGE('월별증감률(전월비)'!G19,'월별증감률(전월비)'!S19,'월별증감률(전월비)'!AE19,'월별증감률(전월비)'!AQ19,'월별증감률(전월비)'!BC19)</f>
        <v>0.0932081258225023</v>
      </c>
      <c r="I19" s="12" t="n">
        <f aca="false">AVERAGE('월별증감률(전월비)'!H19,'월별증감률(전월비)'!T19,'월별증감률(전월비)'!AF19,'월별증감률(전월비)'!AR19,'월별증감률(전월비)'!BD19)</f>
        <v>0.213429992703224</v>
      </c>
      <c r="J19" s="12" t="n">
        <f aca="false">AVERAGE('월별증감률(전월비)'!I19,'월별증감률(전월비)'!U19,'월별증감률(전월비)'!AG19,'월별증감률(전월비)'!AS19,'월별증감률(전월비)'!BE19)</f>
        <v>-0.243849831105117</v>
      </c>
      <c r="K19" s="12" t="n">
        <f aca="false">AVERAGE('월별증감률(전월비)'!J19,'월별증감률(전월비)'!V19,'월별증감률(전월비)'!AH19,'월별증감률(전월비)'!AT19,'월별증감률(전월비)'!BF19)</f>
        <v>0.334316511923693</v>
      </c>
      <c r="L19" s="12" t="n">
        <f aca="false">AVERAGE('월별증감률(전월비)'!K19,'월별증감률(전월비)'!W19,'월별증감률(전월비)'!AI19,'월별증감률(전월비)'!AU19,'월별증감률(전월비)'!BG19)</f>
        <v>0.010242678193228</v>
      </c>
      <c r="M19" s="12" t="n">
        <f aca="false">AVERAGE('월별증감률(전월비)'!L19,'월별증감률(전월비)'!X19,'월별증감률(전월비)'!AJ19,'월별증감률(전월비)'!AV19,'월별증감률(전월비)'!BH19)</f>
        <v>-0.1309695812284</v>
      </c>
      <c r="N19" s="12" t="n">
        <f aca="false">AVERAGE('월별증감률(전월비)'!M19,'월별증감률(전월비)'!Y19,'월별증감률(전월비)'!AK19,'월별증감률(전월비)'!AW19,'월별증감률(전월비)'!BI19)</f>
        <v>-0.113801511564658</v>
      </c>
      <c r="O19" s="15" t="str">
        <f aca="false">INDEX($C$1:$N$1,MATCH(MAX(C19:N19),C19:N19,0))</f>
        <v>1월</v>
      </c>
      <c r="P19" s="16" t="n">
        <f aca="false">MAX(C19:N19)</f>
        <v>0.712206588538203</v>
      </c>
      <c r="Q19" s="17" t="str">
        <f aca="false">INDEX($C$1:$N$1,MATCH(MIN(C19:N19),C19:N19,0))</f>
        <v>4월</v>
      </c>
      <c r="R19" s="18" t="n">
        <f aca="false">MIN(C19:N19)</f>
        <v>-0.364219359567989</v>
      </c>
    </row>
    <row r="20" customFormat="false" ht="15" hidden="false" customHeight="false" outlineLevel="0" collapsed="false">
      <c r="A20" s="8" t="s">
        <v>103</v>
      </c>
      <c r="B20" s="9" t="s">
        <v>108</v>
      </c>
      <c r="C20" s="12" t="n">
        <f aca="false">AVERAGE('월별증감률(전월비)'!N20,'월별증감률(전월비)'!Z20,'월별증감률(전월비)'!AL20,'월별증감률(전월비)'!AX20,'월별증감률(전월비)'!BJ20)</f>
        <v>-0.00135125986605604</v>
      </c>
      <c r="D20" s="12" t="n">
        <f aca="false">AVERAGE('월별증감률(전월비)'!C20,'월별증감률(전월비)'!O20,'월별증감률(전월비)'!AA20,'월별증감률(전월비)'!AM20,'월별증감률(전월비)'!AY20,'월별증감률(전월비)'!BK20)</f>
        <v>-0.00454982251073677</v>
      </c>
      <c r="E20" s="12" t="n">
        <f aca="false">AVERAGE('월별증감률(전월비)'!D20,'월별증감률(전월비)'!P20,'월별증감률(전월비)'!AB20,'월별증감률(전월비)'!AN20,'월별증감률(전월비)'!AZ20,'월별증감률(전월비)'!BL20)</f>
        <v>-0.000145113103849404</v>
      </c>
      <c r="F20" s="12" t="n">
        <f aca="false">AVERAGE('월별증감률(전월비)'!E20,'월별증감률(전월비)'!Q20,'월별증감률(전월비)'!AC20,'월별증감률(전월비)'!AO20,'월별증감률(전월비)'!BA20,'월별증감률(전월비)'!BM20)</f>
        <v>0.000205702052064827</v>
      </c>
      <c r="G20" s="12" t="n">
        <f aca="false">AVERAGE('월별증감률(전월비)'!F20,'월별증감률(전월비)'!R20,'월별증감률(전월비)'!AD20,'월별증감률(전월비)'!AP20,'월별증감률(전월비)'!BB20,'월별증감률(전월비)'!BN20)</f>
        <v>-0.000258286300630535</v>
      </c>
      <c r="H20" s="12" t="n">
        <f aca="false">AVERAGE('월별증감률(전월비)'!G20,'월별증감률(전월비)'!S20,'월별증감률(전월비)'!AE20,'월별증감률(전월비)'!AQ20,'월별증감률(전월비)'!BC20)</f>
        <v>0.000322758862280925</v>
      </c>
      <c r="I20" s="12" t="n">
        <f aca="false">AVERAGE('월별증감률(전월비)'!H20,'월별증감률(전월비)'!T20,'월별증감률(전월비)'!AF20,'월별증감률(전월비)'!AR20,'월별증감률(전월비)'!BD20)</f>
        <v>0.00234850772134265</v>
      </c>
      <c r="J20" s="12" t="n">
        <f aca="false">AVERAGE('월별증감률(전월비)'!I20,'월별증감률(전월비)'!U20,'월별증감률(전월비)'!AG20,'월별증감률(전월비)'!AS20,'월별증감률(전월비)'!BE20)</f>
        <v>-0.0288947710198902</v>
      </c>
      <c r="K20" s="12" t="n">
        <f aca="false">AVERAGE('월별증감률(전월비)'!J20,'월별증감률(전월비)'!V20,'월별증감률(전월비)'!AH20,'월별증감률(전월비)'!AT20,'월별증감률(전월비)'!BF20)</f>
        <v>0.00781342180005653</v>
      </c>
      <c r="L20" s="12" t="n">
        <f aca="false">AVERAGE('월별증감률(전월비)'!K20,'월별증감률(전월비)'!W20,'월별증감률(전월비)'!AI20,'월별증감률(전월비)'!AU20,'월별증감률(전월비)'!BG20)</f>
        <v>-0.00578735137240503</v>
      </c>
      <c r="M20" s="12" t="n">
        <f aca="false">AVERAGE('월별증감률(전월비)'!L20,'월별증감률(전월비)'!X20,'월별증감률(전월비)'!AJ20,'월별증감률(전월비)'!AV20,'월별증감률(전월비)'!BH20)</f>
        <v>-0.00673948023133766</v>
      </c>
      <c r="N20" s="12" t="n">
        <f aca="false">AVERAGE('월별증감률(전월비)'!M20,'월별증감률(전월비)'!Y20,'월별증감률(전월비)'!AK20,'월별증감률(전월비)'!AW20,'월별증감률(전월비)'!BI20)</f>
        <v>-0.00233294317963766</v>
      </c>
      <c r="O20" s="15" t="str">
        <f aca="false">INDEX($C$1:$N$1,MATCH(MAX(C20:N20),C20:N20,0))</f>
        <v>9월</v>
      </c>
      <c r="P20" s="16" t="n">
        <f aca="false">MAX(C20:N20)</f>
        <v>0.00781342180005653</v>
      </c>
      <c r="Q20" s="17" t="str">
        <f aca="false">INDEX($C$1:$N$1,MATCH(MIN(C20:N20),C20:N20,0))</f>
        <v>8월</v>
      </c>
      <c r="R20" s="18" t="n">
        <f aca="false">MIN(C20:N20)</f>
        <v>-0.0288947710198902</v>
      </c>
    </row>
    <row r="21" customFormat="false" ht="15" hidden="false" customHeight="false" outlineLevel="0" collapsed="false">
      <c r="A21" s="8" t="s">
        <v>103</v>
      </c>
      <c r="B21" s="9" t="s">
        <v>109</v>
      </c>
      <c r="C21" s="12" t="n">
        <f aca="false">AVERAGE('월별증감률(전월비)'!N21,'월별증감률(전월비)'!Z21,'월별증감률(전월비)'!AL21,'월별증감률(전월비)'!AX21,'월별증감률(전월비)'!BJ21)</f>
        <v>0.0104517037426738</v>
      </c>
      <c r="D21" s="12" t="n">
        <f aca="false">AVERAGE('월별증감률(전월비)'!C21,'월별증감률(전월비)'!O21,'월별증감률(전월비)'!AA21,'월별증감률(전월비)'!AM21,'월별증감률(전월비)'!AY21,'월별증감률(전월비)'!BK21)</f>
        <v>0.0048860228539684</v>
      </c>
      <c r="E21" s="12" t="n">
        <f aca="false">AVERAGE('월별증감률(전월비)'!D21,'월별증감률(전월비)'!P21,'월별증감률(전월비)'!AB21,'월별증감률(전월비)'!AN21,'월별증감률(전월비)'!AZ21,'월별증감률(전월비)'!BL21)</f>
        <v>0.0108069680759812</v>
      </c>
      <c r="F21" s="12" t="n">
        <f aca="false">AVERAGE('월별증감률(전월비)'!E21,'월별증감률(전월비)'!Q21,'월별증감률(전월비)'!AC21,'월별증감률(전월비)'!AO21,'월별증감률(전월비)'!BA21,'월별증감률(전월비)'!BM21)</f>
        <v>0.00907320898850034</v>
      </c>
      <c r="G21" s="12" t="n">
        <f aca="false">AVERAGE('월별증감률(전월비)'!F21,'월별증감률(전월비)'!R21,'월별증감률(전월비)'!AD21,'월별증감률(전월비)'!AP21,'월별증감률(전월비)'!BB21,'월별증감률(전월비)'!BN21)</f>
        <v>-0.0266646846433994</v>
      </c>
      <c r="H21" s="12" t="n">
        <f aca="false">AVERAGE('월별증감률(전월비)'!G21,'월별증감률(전월비)'!S21,'월별증감률(전월비)'!AE21,'월별증감률(전월비)'!AQ21,'월별증감률(전월비)'!BC21)</f>
        <v>-0.0199313991508869</v>
      </c>
      <c r="I21" s="12" t="n">
        <f aca="false">AVERAGE('월별증감률(전월비)'!H21,'월별증감률(전월비)'!T21,'월별증감률(전월비)'!AF21,'월별증감률(전월비)'!AR21,'월별증감률(전월비)'!BD21)</f>
        <v>0.0385410934301208</v>
      </c>
      <c r="J21" s="12" t="n">
        <f aca="false">AVERAGE('월별증감률(전월비)'!I21,'월별증감률(전월비)'!U21,'월별증감률(전월비)'!AG21,'월별증감률(전월비)'!AS21,'월별증감률(전월비)'!BE21)</f>
        <v>-0.0081616079509828</v>
      </c>
      <c r="K21" s="12" t="n">
        <f aca="false">AVERAGE('월별증감률(전월비)'!J21,'월별증감률(전월비)'!V21,'월별증감률(전월비)'!AH21,'월별증감률(전월비)'!AT21,'월별증감률(전월비)'!BF21)</f>
        <v>-0.00268963257442738</v>
      </c>
      <c r="L21" s="12" t="n">
        <f aca="false">AVERAGE('월별증감률(전월비)'!K21,'월별증감률(전월비)'!W21,'월별증감률(전월비)'!AI21,'월별증감률(전월비)'!AU21,'월별증감률(전월비)'!BG21)</f>
        <v>0.00237508149412402</v>
      </c>
      <c r="M21" s="12" t="n">
        <f aca="false">AVERAGE('월별증감률(전월비)'!L21,'월별증감률(전월비)'!X21,'월별증감률(전월비)'!AJ21,'월별증감률(전월비)'!AV21,'월별증감률(전월비)'!BH21)</f>
        <v>0.00941674217497883</v>
      </c>
      <c r="N21" s="12" t="n">
        <f aca="false">AVERAGE('월별증감률(전월비)'!M21,'월별증감률(전월비)'!Y21,'월별증감률(전월비)'!AK21,'월별증감률(전월비)'!AW21,'월별증감률(전월비)'!BI21)</f>
        <v>0.00393764473996341</v>
      </c>
      <c r="O21" s="15" t="str">
        <f aca="false">INDEX($C$1:$N$1,MATCH(MAX(C21:N21),C21:N21,0))</f>
        <v>7월</v>
      </c>
      <c r="P21" s="16" t="n">
        <f aca="false">MAX(C21:N21)</f>
        <v>0.0385410934301208</v>
      </c>
      <c r="Q21" s="17" t="str">
        <f aca="false">INDEX($C$1:$N$1,MATCH(MIN(C21:N21),C21:N21,0))</f>
        <v>5월</v>
      </c>
      <c r="R21" s="18" t="n">
        <f aca="false">MIN(C21:N21)</f>
        <v>-0.0266646846433994</v>
      </c>
    </row>
    <row r="22" customFormat="false" ht="15" hidden="false" customHeight="false" outlineLevel="0" collapsed="false">
      <c r="A22" s="8" t="s">
        <v>103</v>
      </c>
      <c r="B22" s="9" t="s">
        <v>110</v>
      </c>
      <c r="C22" s="12" t="n">
        <f aca="false">AVERAGE('월별증감률(전월비)'!N22,'월별증감률(전월비)'!Z22,'월별증감률(전월비)'!AL22,'월별증감률(전월비)'!AX22,'월별증감률(전월비)'!BJ22)</f>
        <v>-0.0500205147317544</v>
      </c>
      <c r="D22" s="12" t="n">
        <f aca="false">AVERAGE('월별증감률(전월비)'!C22,'월별증감률(전월비)'!O22,'월별증감률(전월비)'!AA22,'월별증감률(전월비)'!AM22,'월별증감률(전월비)'!AY22,'월별증감률(전월비)'!BK22)</f>
        <v>0.0949646366077245</v>
      </c>
      <c r="E22" s="12" t="n">
        <f aca="false">AVERAGE('월별증감률(전월비)'!D22,'월별증감률(전월비)'!P22,'월별증감률(전월비)'!AB22,'월별증감률(전월비)'!AN22,'월별증감률(전월비)'!AZ22,'월별증감률(전월비)'!BL22)</f>
        <v>-0.0272461169173382</v>
      </c>
      <c r="F22" s="12" t="n">
        <f aca="false">AVERAGE('월별증감률(전월비)'!E22,'월별증감률(전월비)'!Q22,'월별증감률(전월비)'!AC22,'월별증감률(전월비)'!AO22,'월별증감률(전월비)'!BA22,'월별증감률(전월비)'!BM22)</f>
        <v>-0.252798933616452</v>
      </c>
      <c r="G22" s="12" t="n">
        <f aca="false">AVERAGE('월별증감률(전월비)'!F22,'월별증감률(전월비)'!R22,'월별증감률(전월비)'!AD22,'월별증감률(전월비)'!AP22,'월별증감률(전월비)'!BB22,'월별증감률(전월비)'!BN22)</f>
        <v>0.0313443801479336</v>
      </c>
      <c r="H22" s="12" t="n">
        <f aca="false">AVERAGE('월별증감률(전월비)'!G22,'월별증감률(전월비)'!S22,'월별증감률(전월비)'!AE22,'월별증감률(전월비)'!AQ22,'월별증감률(전월비)'!BC22)</f>
        <v>-0.102781661533496</v>
      </c>
      <c r="I22" s="12" t="n">
        <f aca="false">AVERAGE('월별증감률(전월비)'!H22,'월별증감률(전월비)'!T22,'월별증감률(전월비)'!AF22,'월별증감률(전월비)'!AR22,'월별증감률(전월비)'!BD22)</f>
        <v>0.131755664447191</v>
      </c>
      <c r="J22" s="12" t="n">
        <f aca="false">AVERAGE('월별증감률(전월비)'!I22,'월별증감률(전월비)'!U22,'월별증감률(전월비)'!AG22,'월별증감률(전월비)'!AS22,'월별증감률(전월비)'!BE22)</f>
        <v>0.124027223608708</v>
      </c>
      <c r="K22" s="12" t="n">
        <f aca="false">AVERAGE('월별증감률(전월비)'!J22,'월별증감률(전월비)'!V22,'월별증감률(전월비)'!AH22,'월별증감률(전월비)'!AT22,'월별증감률(전월비)'!BF22)</f>
        <v>0.0217708348915885</v>
      </c>
      <c r="L22" s="12" t="n">
        <f aca="false">AVERAGE('월별증감률(전월비)'!K22,'월별증감률(전월비)'!W22,'월별증감률(전월비)'!AI22,'월별증감률(전월비)'!AU22,'월별증감률(전월비)'!BG22)</f>
        <v>0.0498719611391278</v>
      </c>
      <c r="M22" s="12" t="n">
        <f aca="false">AVERAGE('월별증감률(전월비)'!L22,'월별증감률(전월비)'!X22,'월별증감률(전월비)'!AJ22,'월별증감률(전월비)'!AV22,'월별증감률(전월비)'!BH22)</f>
        <v>0.11048937709309</v>
      </c>
      <c r="N22" s="12" t="n">
        <f aca="false">AVERAGE('월별증감률(전월비)'!M22,'월별증감률(전월비)'!Y22,'월별증감률(전월비)'!AK22,'월별증감률(전월비)'!AW22,'월별증감률(전월비)'!BI22)</f>
        <v>-0.0179270522350586</v>
      </c>
      <c r="O22" s="15" t="str">
        <f aca="false">INDEX($C$1:$N$1,MATCH(MAX(C22:N22),C22:N22,0))</f>
        <v>7월</v>
      </c>
      <c r="P22" s="16" t="n">
        <f aca="false">MAX(C22:N22)</f>
        <v>0.131755664447191</v>
      </c>
      <c r="Q22" s="17" t="str">
        <f aca="false">INDEX($C$1:$N$1,MATCH(MIN(C22:N22),C22:N22,0))</f>
        <v>4월</v>
      </c>
      <c r="R22" s="18" t="n">
        <f aca="false">MIN(C22:N22)</f>
        <v>-0.252798933616452</v>
      </c>
    </row>
    <row r="23" customFormat="false" ht="15" hidden="false" customHeight="false" outlineLevel="0" collapsed="false">
      <c r="A23" s="8" t="s">
        <v>103</v>
      </c>
      <c r="B23" s="9" t="s">
        <v>111</v>
      </c>
      <c r="C23" s="12" t="n">
        <f aca="false">AVERAGE('월별증감률(전월비)'!N23,'월별증감률(전월비)'!Z23,'월별증감률(전월비)'!AL23,'월별증감률(전월비)'!AX23,'월별증감률(전월비)'!BJ23)</f>
        <v>-0.00182078821643819</v>
      </c>
      <c r="D23" s="12" t="n">
        <f aca="false">AVERAGE('월별증감률(전월비)'!C23,'월별증감률(전월비)'!O23,'월별증감률(전월비)'!AA23,'월별증감률(전월비)'!AM23,'월별증감률(전월비)'!AY23,'월별증감률(전월비)'!BK23)</f>
        <v>0.00543994942093741</v>
      </c>
      <c r="E23" s="12" t="n">
        <f aca="false">AVERAGE('월별증감률(전월비)'!D23,'월별증감률(전월비)'!P23,'월별증감률(전월비)'!AB23,'월별증감률(전월비)'!AN23,'월별증감률(전월비)'!AZ23,'월별증감률(전월비)'!BL23)</f>
        <v>0.0158933842701308</v>
      </c>
      <c r="F23" s="12" t="n">
        <f aca="false">AVERAGE('월별증감률(전월비)'!E23,'월별증감률(전월비)'!Q23,'월별증감률(전월비)'!AC23,'월별증감률(전월비)'!AO23,'월별증감률(전월비)'!BA23,'월별증감률(전월비)'!BM23)</f>
        <v>-0.137726023264172</v>
      </c>
      <c r="G23" s="12" t="n">
        <f aca="false">AVERAGE('월별증감률(전월비)'!F23,'월별증감률(전월비)'!R23,'월별증감률(전월비)'!AD23,'월별증감률(전월비)'!AP23,'월별증감률(전월비)'!BB23,'월별증감률(전월비)'!BN23)</f>
        <v>-0.165192243391763</v>
      </c>
      <c r="H23" s="12" t="n">
        <f aca="false">AVERAGE('월별증감률(전월비)'!G23,'월별증감률(전월비)'!S23,'월별증감률(전월비)'!AE23,'월별증감률(전월비)'!AQ23,'월별증감률(전월비)'!BC23)</f>
        <v>0.116593368589487</v>
      </c>
      <c r="I23" s="12" t="n">
        <f aca="false">AVERAGE('월별증감률(전월비)'!H23,'월별증감률(전월비)'!T23,'월별증감률(전월비)'!AF23,'월별증감률(전월비)'!AR23,'월별증감률(전월비)'!BD23)</f>
        <v>0.113301831520381</v>
      </c>
      <c r="J23" s="12" t="n">
        <f aca="false">AVERAGE('월별증감률(전월비)'!I23,'월별증감률(전월비)'!U23,'월별증감률(전월비)'!AG23,'월별증감률(전월비)'!AS23,'월별증감률(전월비)'!BE23)</f>
        <v>0.113431473591821</v>
      </c>
      <c r="K23" s="12" t="n">
        <f aca="false">AVERAGE('월별증감률(전월비)'!J23,'월별증감률(전월비)'!V23,'월별증감률(전월비)'!AH23,'월별증감률(전월비)'!AT23,'월별증감률(전월비)'!BF23)</f>
        <v>0.00962925066007665</v>
      </c>
      <c r="L23" s="12" t="n">
        <f aca="false">AVERAGE('월별증감률(전월비)'!K23,'월별증감률(전월비)'!W23,'월별증감률(전월비)'!AI23,'월별증감률(전월비)'!AU23,'월별증감률(전월비)'!BG23)</f>
        <v>-0.0128187645349311</v>
      </c>
      <c r="M23" s="12" t="n">
        <f aca="false">AVERAGE('월별증감률(전월비)'!L23,'월별증감률(전월비)'!X23,'월별증감률(전월비)'!AJ23,'월별증감률(전월비)'!AV23,'월별증감률(전월비)'!BH23)</f>
        <v>0.0122096578795142</v>
      </c>
      <c r="N23" s="12" t="n">
        <f aca="false">AVERAGE('월별증감률(전월비)'!M23,'월별증감률(전월비)'!Y23,'월별증감률(전월비)'!AK23,'월별증감률(전월비)'!AW23,'월별증감률(전월비)'!BI23)</f>
        <v>-0.0140567793270102</v>
      </c>
      <c r="O23" s="15" t="str">
        <f aca="false">INDEX($C$1:$N$1,MATCH(MAX(C23:N23),C23:N23,0))</f>
        <v>6월</v>
      </c>
      <c r="P23" s="16" t="n">
        <f aca="false">MAX(C23:N23)</f>
        <v>0.116593368589487</v>
      </c>
      <c r="Q23" s="17" t="str">
        <f aca="false">INDEX($C$1:$N$1,MATCH(MIN(C23:N23),C23:N23,0))</f>
        <v>5월</v>
      </c>
      <c r="R23" s="18" t="n">
        <f aca="false">MIN(C23:N23)</f>
        <v>-0.165192243391763</v>
      </c>
    </row>
    <row r="24" customFormat="false" ht="15" hidden="false" customHeight="false" outlineLevel="0" collapsed="false">
      <c r="A24" s="8" t="s">
        <v>103</v>
      </c>
      <c r="B24" s="9" t="s">
        <v>112</v>
      </c>
      <c r="C24" s="12" t="n">
        <f aca="false">AVERAGE('월별증감률(전월비)'!N24,'월별증감률(전월비)'!Z24,'월별증감률(전월비)'!AL24,'월별증감률(전월비)'!AX24,'월별증감률(전월비)'!BJ24)</f>
        <v>0.00530116069221087</v>
      </c>
      <c r="D24" s="12" t="n">
        <f aca="false">AVERAGE('월별증감률(전월비)'!C24,'월별증감률(전월비)'!O24,'월별증감률(전월비)'!AA24,'월별증감률(전월비)'!AM24,'월별증감률(전월비)'!AY24,'월별증감률(전월비)'!BK24)</f>
        <v>0.0231173227032515</v>
      </c>
      <c r="E24" s="12" t="n">
        <f aca="false">AVERAGE('월별증감률(전월비)'!D24,'월별증감률(전월비)'!P24,'월별증감률(전월비)'!AB24,'월별증감률(전월비)'!AN24,'월별증감률(전월비)'!AZ24,'월별증감률(전월비)'!BL24)</f>
        <v>0.0120279563745725</v>
      </c>
      <c r="F24" s="12" t="n">
        <f aca="false">AVERAGE('월별증감률(전월비)'!E24,'월별증감률(전월비)'!Q24,'월별증감률(전월비)'!AC24,'월별증감률(전월비)'!AO24,'월별증감률(전월비)'!BA24,'월별증감률(전월비)'!BM24)</f>
        <v>-0.00491220640749853</v>
      </c>
      <c r="G24" s="12" t="n">
        <f aca="false">AVERAGE('월별증감률(전월비)'!F24,'월별증감률(전월비)'!R24,'월별증감률(전월비)'!AD24,'월별증감률(전월비)'!AP24,'월별증감률(전월비)'!BB24,'월별증감률(전월비)'!BN24)</f>
        <v>0.0142405714372543</v>
      </c>
      <c r="H24" s="12" t="n">
        <f aca="false">AVERAGE('월별증감률(전월비)'!G24,'월별증감률(전월비)'!S24,'월별증감률(전월비)'!AE24,'월별증감률(전월비)'!AQ24,'월별증감률(전월비)'!BC24)</f>
        <v>9.65814251118857E-005</v>
      </c>
      <c r="I24" s="12" t="n">
        <f aca="false">AVERAGE('월별증감률(전월비)'!H24,'월별증감률(전월비)'!T24,'월별증감률(전월비)'!AF24,'월별증감률(전월비)'!AR24,'월별증감률(전월비)'!BD24)</f>
        <v>-0.00395972774805873</v>
      </c>
      <c r="J24" s="12" t="n">
        <f aca="false">AVERAGE('월별증감률(전월비)'!I24,'월별증감률(전월비)'!U24,'월별증감률(전월비)'!AG24,'월별증감률(전월비)'!AS24,'월별증감률(전월비)'!BE24)</f>
        <v>0.0199548481751244</v>
      </c>
      <c r="K24" s="12" t="n">
        <f aca="false">AVERAGE('월별증감률(전월비)'!J24,'월별증감률(전월비)'!V24,'월별증감률(전월비)'!AH24,'월별증감률(전월비)'!AT24,'월별증감률(전월비)'!BF24)</f>
        <v>0.0865862721025596</v>
      </c>
      <c r="L24" s="12" t="n">
        <f aca="false">AVERAGE('월별증감률(전월비)'!K24,'월별증감률(전월비)'!W24,'월별증감률(전월비)'!AI24,'월별증감률(전월비)'!AU24,'월별증감률(전월비)'!BG24)</f>
        <v>-0.1228524680401</v>
      </c>
      <c r="M24" s="12" t="n">
        <f aca="false">AVERAGE('월별증감률(전월비)'!L24,'월별증감률(전월비)'!X24,'월별증감률(전월비)'!AJ24,'월별증감률(전월비)'!AV24,'월별증감률(전월비)'!BH24)</f>
        <v>-0.00377481767191434</v>
      </c>
      <c r="N24" s="12" t="n">
        <f aca="false">AVERAGE('월별증감률(전월비)'!M24,'월별증감률(전월비)'!Y24,'월별증감률(전월비)'!AK24,'월별증감률(전월비)'!AW24,'월별증감률(전월비)'!BI24)</f>
        <v>0.0571574283547042</v>
      </c>
      <c r="O24" s="15" t="str">
        <f aca="false">INDEX($C$1:$N$1,MATCH(MAX(C24:N24),C24:N24,0))</f>
        <v>9월</v>
      </c>
      <c r="P24" s="16" t="n">
        <f aca="false">MAX(C24:N24)</f>
        <v>0.0865862721025596</v>
      </c>
      <c r="Q24" s="17" t="str">
        <f aca="false">INDEX($C$1:$N$1,MATCH(MIN(C24:N24),C24:N24,0))</f>
        <v>10월</v>
      </c>
      <c r="R24" s="18" t="n">
        <f aca="false">MIN(C24:N24)</f>
        <v>-0.1228524680401</v>
      </c>
    </row>
    <row r="25" customFormat="false" ht="15" hidden="false" customHeight="false" outlineLevel="0" collapsed="false">
      <c r="A25" s="8" t="s">
        <v>103</v>
      </c>
      <c r="B25" s="9" t="s">
        <v>113</v>
      </c>
      <c r="C25" s="12" t="n">
        <f aca="false">AVERAGE('월별증감률(전월비)'!N25,'월별증감률(전월비)'!Z25,'월별증감률(전월비)'!AL25,'월별증감률(전월비)'!AX25,'월별증감률(전월비)'!BJ25)</f>
        <v>0.106718360261251</v>
      </c>
      <c r="D25" s="12" t="n">
        <f aca="false">AVERAGE('월별증감률(전월비)'!C25,'월별증감률(전월비)'!O25,'월별증감률(전월비)'!AA25,'월별증감률(전월비)'!AM25,'월별증감률(전월비)'!AY25,'월별증감률(전월비)'!BK25)</f>
        <v>-0.0481679622363131</v>
      </c>
      <c r="E25" s="12" t="n">
        <f aca="false">AVERAGE('월별증감률(전월비)'!D25,'월별증감률(전월비)'!P25,'월별증감률(전월비)'!AB25,'월별증감률(전월비)'!AN25,'월별증감률(전월비)'!AZ25,'월별증감률(전월비)'!BL25)</f>
        <v>-0.0580599304204284</v>
      </c>
      <c r="F25" s="12" t="n">
        <f aca="false">AVERAGE('월별증감률(전월비)'!E25,'월별증감률(전월비)'!Q25,'월별증감률(전월비)'!AC25,'월별증감률(전월비)'!AO25,'월별증감률(전월비)'!BA25,'월별증감률(전월비)'!BM25)</f>
        <v>-0.0286826242436336</v>
      </c>
      <c r="G25" s="12" t="n">
        <f aca="false">AVERAGE('월별증감률(전월비)'!F25,'월별증감률(전월비)'!R25,'월별증감률(전월비)'!AD25,'월별증감률(전월비)'!AP25,'월별증감률(전월비)'!BB25,'월별증감률(전월비)'!BN25)</f>
        <v>0.0402600443353112</v>
      </c>
      <c r="H25" s="12" t="n">
        <f aca="false">AVERAGE('월별증감률(전월비)'!G25,'월별증감률(전월비)'!S25,'월별증감률(전월비)'!AE25,'월별증감률(전월비)'!AQ25,'월별증감률(전월비)'!BC25)</f>
        <v>-0.0258258619035596</v>
      </c>
      <c r="I25" s="12" t="n">
        <f aca="false">AVERAGE('월별증감률(전월비)'!H25,'월별증감률(전월비)'!T25,'월별증감률(전월비)'!AF25,'월별증감률(전월비)'!AR25,'월별증감률(전월비)'!BD25)</f>
        <v>-0.0481729179958326</v>
      </c>
      <c r="J25" s="12" t="n">
        <f aca="false">AVERAGE('월별증감률(전월비)'!I25,'월별증감률(전월비)'!U25,'월별증감률(전월비)'!AG25,'월별증감률(전월비)'!AS25,'월별증감률(전월비)'!BE25)</f>
        <v>0.100038168034301</v>
      </c>
      <c r="K25" s="12" t="n">
        <f aca="false">AVERAGE('월별증감률(전월비)'!J25,'월별증감률(전월비)'!V25,'월별증감률(전월비)'!AH25,'월별증감률(전월비)'!AT25,'월별증감률(전월비)'!BF25)</f>
        <v>0.123411903741527</v>
      </c>
      <c r="L25" s="12" t="n">
        <f aca="false">AVERAGE('월별증감률(전월비)'!K25,'월별증감률(전월비)'!W25,'월별증감률(전월비)'!AI25,'월별증감률(전월비)'!AU25,'월별증감률(전월비)'!BG25)</f>
        <v>-0.086318154791718</v>
      </c>
      <c r="M25" s="12" t="n">
        <f aca="false">AVERAGE('월별증감률(전월비)'!L25,'월별증감률(전월비)'!X25,'월별증감률(전월비)'!AJ25,'월별증감률(전월비)'!AV25,'월별증감률(전월비)'!BH25)</f>
        <v>-0.0118721455958356</v>
      </c>
      <c r="N25" s="12" t="n">
        <f aca="false">AVERAGE('월별증감률(전월비)'!M25,'월별증감률(전월비)'!Y25,'월별증감률(전월비)'!AK25,'월별증감률(전월비)'!AW25,'월별증감률(전월비)'!BI25)</f>
        <v>0.0766015013506413</v>
      </c>
      <c r="O25" s="15" t="str">
        <f aca="false">INDEX($C$1:$N$1,MATCH(MAX(C25:N25),C25:N25,0))</f>
        <v>9월</v>
      </c>
      <c r="P25" s="16" t="n">
        <f aca="false">MAX(C25:N25)</f>
        <v>0.123411903741527</v>
      </c>
      <c r="Q25" s="17" t="str">
        <f aca="false">INDEX($C$1:$N$1,MATCH(MIN(C25:N25),C25:N25,0))</f>
        <v>10월</v>
      </c>
      <c r="R25" s="18" t="n">
        <f aca="false">MIN(C25:N25)</f>
        <v>-0.086318154791718</v>
      </c>
    </row>
    <row r="26" customFormat="false" ht="15" hidden="false" customHeight="false" outlineLevel="0" collapsed="false">
      <c r="A26" s="8" t="s">
        <v>103</v>
      </c>
      <c r="B26" s="9" t="s">
        <v>114</v>
      </c>
      <c r="C26" s="12" t="n">
        <f aca="false">AVERAGE('월별증감률(전월비)'!N26,'월별증감률(전월비)'!Z26,'월별증감률(전월비)'!AL26,'월별증감률(전월비)'!AX26,'월별증감률(전월비)'!BJ26)</f>
        <v>0.893300712536288</v>
      </c>
      <c r="D26" s="12" t="n">
        <f aca="false">AVERAGE('월별증감률(전월비)'!C26,'월별증감률(전월비)'!O26,'월별증감률(전월비)'!AA26,'월별증감률(전월비)'!AM26,'월별증감률(전월비)'!AY26,'월별증감률(전월비)'!BK26)</f>
        <v>0.164025332145858</v>
      </c>
      <c r="E26" s="12" t="n">
        <f aca="false">AVERAGE('월별증감률(전월비)'!D26,'월별증감률(전월비)'!P26,'월별증감률(전월비)'!AB26,'월별증감률(전월비)'!AN26,'월별증감률(전월비)'!AZ26,'월별증감률(전월비)'!BL26)</f>
        <v>-0.228243979747641</v>
      </c>
      <c r="F26" s="12" t="n">
        <f aca="false">AVERAGE('월별증감률(전월비)'!E26,'월별증감률(전월비)'!Q26,'월별증감률(전월비)'!AC26,'월별증감률(전월비)'!AO26,'월별증감률(전월비)'!BA26,'월별증감률(전월비)'!BM26)</f>
        <v>-0.251892474723072</v>
      </c>
      <c r="G26" s="12" t="n">
        <f aca="false">AVERAGE('월별증감률(전월비)'!F26,'월별증감률(전월비)'!R26,'월별증감률(전월비)'!AD26,'월별증감률(전월비)'!AP26,'월별증감률(전월비)'!BB26,'월별증감률(전월비)'!BN26)</f>
        <v>-0.195211969039238</v>
      </c>
      <c r="H26" s="12" t="n">
        <f aca="false">AVERAGE('월별증감률(전월비)'!G26,'월별증감률(전월비)'!S26,'월별증감률(전월비)'!AE26,'월별증감률(전월비)'!AQ26,'월별증감률(전월비)'!BC26)</f>
        <v>0.15049232547907</v>
      </c>
      <c r="I26" s="12" t="n">
        <f aca="false">AVERAGE('월별증감률(전월비)'!H26,'월별증감률(전월비)'!T26,'월별증감률(전월비)'!AF26,'월별증감률(전월비)'!AR26,'월별증감률(전월비)'!BD26)</f>
        <v>-0.346899136618189</v>
      </c>
      <c r="J26" s="12" t="n">
        <f aca="false">AVERAGE('월별증감률(전월비)'!I26,'월별증감률(전월비)'!U26,'월별증감률(전월비)'!AG26,'월별증감률(전월비)'!AS26,'월별증감률(전월비)'!BE26)</f>
        <v>0.206666962955592</v>
      </c>
      <c r="K26" s="12" t="n">
        <f aca="false">AVERAGE('월별증감률(전월비)'!J26,'월별증감률(전월비)'!V26,'월별증감률(전월비)'!AH26,'월별증감률(전월비)'!AT26,'월별증감률(전월비)'!BF26)</f>
        <v>0.697848696297651</v>
      </c>
      <c r="L26" s="12" t="n">
        <f aca="false">AVERAGE('월별증감률(전월비)'!K26,'월별증감률(전월비)'!W26,'월별증감률(전월비)'!AI26,'월별증감률(전월비)'!AU26,'월별증감률(전월비)'!BG26)</f>
        <v>-0.107146641252294</v>
      </c>
      <c r="M26" s="12" t="n">
        <f aca="false">AVERAGE('월별증감률(전월비)'!L26,'월별증감률(전월비)'!X26,'월별증감률(전월비)'!AJ26,'월별증감률(전월비)'!AV26,'월별증감률(전월비)'!BH26)</f>
        <v>0.138828980343137</v>
      </c>
      <c r="N26" s="12" t="n">
        <f aca="false">AVERAGE('월별증감률(전월비)'!M26,'월별증감률(전월비)'!Y26,'월별증감률(전월비)'!AK26,'월별증감률(전월비)'!AW26,'월별증감률(전월비)'!BI26)</f>
        <v>0.0584781928618006</v>
      </c>
      <c r="O26" s="15" t="str">
        <f aca="false">INDEX($C$1:$N$1,MATCH(MAX(C26:N26),C26:N26,0))</f>
        <v>1월</v>
      </c>
      <c r="P26" s="16" t="n">
        <f aca="false">MAX(C26:N26)</f>
        <v>0.893300712536288</v>
      </c>
      <c r="Q26" s="17" t="str">
        <f aca="false">INDEX($C$1:$N$1,MATCH(MIN(C26:N26),C26:N26,0))</f>
        <v>7월</v>
      </c>
      <c r="R26" s="18" t="n">
        <f aca="false">MIN(C26:N26)</f>
        <v>-0.346899136618189</v>
      </c>
    </row>
    <row r="27" customFormat="false" ht="15" hidden="false" customHeight="false" outlineLevel="0" collapsed="false">
      <c r="A27" s="8" t="s">
        <v>103</v>
      </c>
      <c r="B27" s="9" t="s">
        <v>115</v>
      </c>
      <c r="C27" s="12" t="n">
        <f aca="false">AVERAGE('월별증감률(전월비)'!N27,'월별증감률(전월비)'!Z27,'월별증감률(전월비)'!AL27,'월별증감률(전월비)'!AX27,'월별증감률(전월비)'!BJ27)</f>
        <v>0.0627947102163622</v>
      </c>
      <c r="D27" s="12" t="n">
        <f aca="false">AVERAGE('월별증감률(전월비)'!C27,'월별증감률(전월비)'!O27,'월별증감률(전월비)'!AA27,'월별증감률(전월비)'!AM27,'월별증감률(전월비)'!AY27,'월별증감률(전월비)'!BK27)</f>
        <v>0.122755265586226</v>
      </c>
      <c r="E27" s="12" t="n">
        <f aca="false">AVERAGE('월별증감률(전월비)'!D27,'월별증감률(전월비)'!P27,'월별증감률(전월비)'!AB27,'월별증감률(전월비)'!AN27,'월별증감률(전월비)'!AZ27,'월별증감률(전월비)'!BL27)</f>
        <v>0.022277849911932</v>
      </c>
      <c r="F27" s="12" t="n">
        <f aca="false">AVERAGE('월별증감률(전월비)'!E27,'월별증감률(전월비)'!Q27,'월별증감률(전월비)'!AC27,'월별증감률(전월비)'!AO27,'월별증감률(전월비)'!BA27,'월별증감률(전월비)'!BM27)</f>
        <v>0.0554842131008964</v>
      </c>
      <c r="G27" s="12" t="n">
        <f aca="false">AVERAGE('월별증감률(전월비)'!F27,'월별증감률(전월비)'!R27,'월별증감률(전월비)'!AD27,'월별증감률(전월비)'!AP27,'월별증감률(전월비)'!BB27,'월별증감률(전월비)'!BN27)</f>
        <v>0.0303567642875551</v>
      </c>
      <c r="H27" s="12" t="n">
        <f aca="false">AVERAGE('월별증감률(전월비)'!G27,'월별증감률(전월비)'!S27,'월별증감률(전월비)'!AE27,'월별증감률(전월비)'!AQ27,'월별증감률(전월비)'!BC27)</f>
        <v>-0.347550253907305</v>
      </c>
      <c r="I27" s="12" t="n">
        <f aca="false">AVERAGE('월별증감률(전월비)'!H27,'월별증감률(전월비)'!T27,'월별증감률(전월비)'!AF27,'월별증감률(전월비)'!AR27,'월별증감률(전월비)'!BD27)</f>
        <v>-0.0620430563644653</v>
      </c>
      <c r="J27" s="12" t="n">
        <f aca="false">AVERAGE('월별증감률(전월비)'!I27,'월별증감률(전월비)'!U27,'월별증감률(전월비)'!AG27,'월별증감률(전월비)'!AS27,'월별증감률(전월비)'!BE27)</f>
        <v>0.442368509450049</v>
      </c>
      <c r="K27" s="12" t="n">
        <f aca="false">AVERAGE('월별증감률(전월비)'!J27,'월별증감률(전월비)'!V27,'월별증감률(전월비)'!AH27,'월별증감률(전월비)'!AT27,'월별증감률(전월비)'!BF27)</f>
        <v>0.0131141293473222</v>
      </c>
      <c r="L27" s="12" t="n">
        <f aca="false">AVERAGE('월별증감률(전월비)'!K27,'월별증감률(전월비)'!W27,'월별증감률(전월비)'!AI27,'월별증감률(전월비)'!AU27,'월별증감률(전월비)'!BG27)</f>
        <v>0.0519940388957812</v>
      </c>
      <c r="M27" s="12" t="n">
        <f aca="false">AVERAGE('월별증감률(전월비)'!L27,'월별증감률(전월비)'!X27,'월별증감률(전월비)'!AJ27,'월별증감률(전월비)'!AV27,'월별증감률(전월비)'!BH27)</f>
        <v>-0.0565458951678027</v>
      </c>
      <c r="N27" s="12" t="n">
        <f aca="false">AVERAGE('월별증감률(전월비)'!M27,'월별증감률(전월비)'!Y27,'월별증감률(전월비)'!AK27,'월별증감률(전월비)'!AW27,'월별증감률(전월비)'!BI27)</f>
        <v>-0.0324309023789699</v>
      </c>
      <c r="O27" s="15" t="str">
        <f aca="false">INDEX($C$1:$N$1,MATCH(MAX(C27:N27),C27:N27,0))</f>
        <v>8월</v>
      </c>
      <c r="P27" s="16" t="n">
        <f aca="false">MAX(C27:N27)</f>
        <v>0.442368509450049</v>
      </c>
      <c r="Q27" s="17" t="str">
        <f aca="false">INDEX($C$1:$N$1,MATCH(MIN(C27:N27),C27:N27,0))</f>
        <v>6월</v>
      </c>
      <c r="R27" s="18" t="n">
        <f aca="false">MIN(C27:N27)</f>
        <v>-0.347550253907305</v>
      </c>
    </row>
    <row r="28" customFormat="false" ht="15" hidden="false" customHeight="false" outlineLevel="0" collapsed="false">
      <c r="A28" s="8" t="s">
        <v>117</v>
      </c>
      <c r="B28" s="9" t="s">
        <v>118</v>
      </c>
      <c r="C28" s="12" t="n">
        <f aca="false">AVERAGE('월별증감률(전월비)'!N28,'월별증감률(전월비)'!Z28,'월별증감률(전월비)'!AL28,'월별증감률(전월비)'!AX28,'월별증감률(전월비)'!BJ28)</f>
        <v>0.100047019527493</v>
      </c>
      <c r="D28" s="12" t="n">
        <f aca="false">AVERAGE('월별증감률(전월비)'!C28,'월별증감률(전월비)'!O28,'월별증감률(전월비)'!AA28,'월별증감률(전월비)'!AM28,'월별증감률(전월비)'!AY28,'월별증감률(전월비)'!BK28)</f>
        <v>0.0168851400285858</v>
      </c>
      <c r="E28" s="12" t="n">
        <f aca="false">AVERAGE('월별증감률(전월비)'!D28,'월별증감률(전월비)'!P28,'월별증감률(전월비)'!AB28,'월별증감률(전월비)'!AN28,'월별증감률(전월비)'!AZ28,'월별증감률(전월비)'!BL28)</f>
        <v>-0.0436544202366411</v>
      </c>
      <c r="F28" s="12" t="n">
        <f aca="false">AVERAGE('월별증감률(전월비)'!E28,'월별증감률(전월비)'!Q28,'월별증감률(전월비)'!AC28,'월별증감률(전월비)'!AO28,'월별증감률(전월비)'!BA28,'월별증감률(전월비)'!BM28)</f>
        <v>0.0598654940363735</v>
      </c>
      <c r="G28" s="12" t="n">
        <f aca="false">AVERAGE('월별증감률(전월비)'!F28,'월별증감률(전월비)'!R28,'월별증감률(전월비)'!AD28,'월별증감률(전월비)'!AP28,'월별증감률(전월비)'!BB28,'월별증감률(전월비)'!BN28)</f>
        <v>-0.00332236562712385</v>
      </c>
      <c r="H28" s="12" t="n">
        <f aca="false">AVERAGE('월별증감률(전월비)'!G28,'월별증감률(전월비)'!S28,'월별증감률(전월비)'!AE28,'월별증감률(전월비)'!AQ28,'월별증감률(전월비)'!BC28)</f>
        <v>0.110907378923941</v>
      </c>
      <c r="I28" s="12" t="n">
        <f aca="false">AVERAGE('월별증감률(전월비)'!H28,'월별증감률(전월비)'!T28,'월별증감률(전월비)'!AF28,'월별증감률(전월비)'!AR28,'월별증감률(전월비)'!BD28)</f>
        <v>0.0379996111893753</v>
      </c>
      <c r="J28" s="12" t="n">
        <f aca="false">AVERAGE('월별증감률(전월비)'!I28,'월별증감률(전월비)'!U28,'월별증감률(전월비)'!AG28,'월별증감률(전월비)'!AS28,'월별증감률(전월비)'!BE28)</f>
        <v>-0.0330296237830727</v>
      </c>
      <c r="K28" s="12" t="n">
        <f aca="false">AVERAGE('월별증감률(전월비)'!J28,'월별증감률(전월비)'!V28,'월별증감률(전월비)'!AH28,'월별증감률(전월비)'!AT28,'월별증감률(전월비)'!BF28)</f>
        <v>-0.104390218942326</v>
      </c>
      <c r="L28" s="12" t="n">
        <f aca="false">AVERAGE('월별증감률(전월비)'!K28,'월별증감률(전월비)'!W28,'월별증감률(전월비)'!AI28,'월별증감률(전월비)'!AU28,'월별증감률(전월비)'!BG28)</f>
        <v>-0.0512312765097478</v>
      </c>
      <c r="M28" s="12" t="n">
        <f aca="false">AVERAGE('월별증감률(전월비)'!L28,'월별증감률(전월비)'!X28,'월별증감률(전월비)'!AJ28,'월별증감률(전월비)'!AV28,'월별증감률(전월비)'!BH28)</f>
        <v>-0.0669167155291271</v>
      </c>
      <c r="N28" s="12" t="n">
        <f aca="false">AVERAGE('월별증감률(전월비)'!M28,'월별증감률(전월비)'!Y28,'월별증감률(전월비)'!AK28,'월별증감률(전월비)'!AW28,'월별증감률(전월비)'!BI28)</f>
        <v>0.150034760635637</v>
      </c>
      <c r="O28" s="15" t="str">
        <f aca="false">INDEX($C$1:$N$1,MATCH(MAX(C28:N28),C28:N28,0))</f>
        <v>12월</v>
      </c>
      <c r="P28" s="16" t="n">
        <f aca="false">MAX(C28:N28)</f>
        <v>0.150034760635637</v>
      </c>
      <c r="Q28" s="17" t="str">
        <f aca="false">INDEX($C$1:$N$1,MATCH(MIN(C28:N28),C28:N28,0))</f>
        <v>9월</v>
      </c>
      <c r="R28" s="18" t="n">
        <f aca="false">MIN(C28:N28)</f>
        <v>-0.104390218942326</v>
      </c>
    </row>
    <row r="29" customFormat="false" ht="15" hidden="false" customHeight="false" outlineLevel="0" collapsed="false">
      <c r="A29" s="8" t="s">
        <v>117</v>
      </c>
      <c r="B29" s="9" t="s">
        <v>119</v>
      </c>
      <c r="C29" s="12" t="n">
        <f aca="false">AVERAGE('월별증감률(전월비)'!N29,'월별증감률(전월비)'!Z29,'월별증감률(전월비)'!AL29,'월별증감률(전월비)'!AX29,'월별증감률(전월비)'!BJ29)</f>
        <v>0.104373304238756</v>
      </c>
      <c r="D29" s="12" t="n">
        <f aca="false">AVERAGE('월별증감률(전월비)'!C29,'월별증감률(전월비)'!O29,'월별증감률(전월비)'!AA29,'월별증감률(전월비)'!AM29,'월별증감률(전월비)'!AY29,'월별증감률(전월비)'!BK29)</f>
        <v>0.0102638659517086</v>
      </c>
      <c r="E29" s="12" t="n">
        <f aca="false">AVERAGE('월별증감률(전월비)'!D29,'월별증감률(전월비)'!P29,'월별증감률(전월비)'!AB29,'월별증감률(전월비)'!AN29,'월별증감률(전월비)'!AZ29,'월별증감률(전월비)'!BL29)</f>
        <v>0.0294158466593755</v>
      </c>
      <c r="F29" s="12" t="n">
        <f aca="false">AVERAGE('월별증감률(전월비)'!E29,'월별증감률(전월비)'!Q29,'월별증감률(전월비)'!AC29,'월별증감률(전월비)'!AO29,'월별증감률(전월비)'!BA29,'월별증감률(전월비)'!BM29)</f>
        <v>0.0534759035444412</v>
      </c>
      <c r="G29" s="12" t="n">
        <f aca="false">AVERAGE('월별증감률(전월비)'!F29,'월별증감률(전월비)'!R29,'월별증감률(전월비)'!AD29,'월별증감률(전월비)'!AP29,'월별증감률(전월비)'!BB29,'월별증감률(전월비)'!BN29)</f>
        <v>0.03834540086661</v>
      </c>
      <c r="H29" s="12" t="n">
        <f aca="false">AVERAGE('월별증감률(전월비)'!G29,'월별증감률(전월비)'!S29,'월별증감률(전월비)'!AE29,'월별증감률(전월비)'!AQ29,'월별증감률(전월비)'!BC29)</f>
        <v>0.0887248790275607</v>
      </c>
      <c r="I29" s="12" t="n">
        <f aca="false">AVERAGE('월별증감률(전월비)'!H29,'월별증감률(전월비)'!T29,'월별증감률(전월비)'!AF29,'월별증감률(전월비)'!AR29,'월별증감률(전월비)'!BD29)</f>
        <v>0.0597940467852162</v>
      </c>
      <c r="J29" s="12" t="n">
        <f aca="false">AVERAGE('월별증감률(전월비)'!I29,'월별증감률(전월비)'!U29,'월별증감률(전월비)'!AG29,'월별증감률(전월비)'!AS29,'월별증감률(전월비)'!BE29)</f>
        <v>-0.165494726097464</v>
      </c>
      <c r="K29" s="12" t="n">
        <f aca="false">AVERAGE('월별증감률(전월비)'!J29,'월별증감률(전월비)'!V29,'월별증감률(전월비)'!AH29,'월별증감률(전월비)'!AT29,'월별증감률(전월비)'!BF29)</f>
        <v>-0.167721524358593</v>
      </c>
      <c r="L29" s="12" t="n">
        <f aca="false">AVERAGE('월별증감률(전월비)'!K29,'월별증감률(전월비)'!W29,'월별증감률(전월비)'!AI29,'월별증감률(전월비)'!AU29,'월별증감률(전월비)'!BG29)</f>
        <v>-0.0985549918715114</v>
      </c>
      <c r="M29" s="12" t="n">
        <f aca="false">AVERAGE('월별증감률(전월비)'!L29,'월별증감률(전월비)'!X29,'월별증감률(전월비)'!AJ29,'월별증감률(전월비)'!AV29,'월별증감률(전월비)'!BH29)</f>
        <v>0.141408815572295</v>
      </c>
      <c r="N29" s="12" t="n">
        <f aca="false">AVERAGE('월별증감률(전월비)'!M29,'월별증감률(전월비)'!Y29,'월별증감률(전월비)'!AK29,'월별증감률(전월비)'!AW29,'월별증감률(전월비)'!BI29)</f>
        <v>0.0942708241191346</v>
      </c>
      <c r="O29" s="15" t="str">
        <f aca="false">INDEX($C$1:$N$1,MATCH(MAX(C29:N29),C29:N29,0))</f>
        <v>11월</v>
      </c>
      <c r="P29" s="16" t="n">
        <f aca="false">MAX(C29:N29)</f>
        <v>0.141408815572295</v>
      </c>
      <c r="Q29" s="17" t="str">
        <f aca="false">INDEX($C$1:$N$1,MATCH(MIN(C29:N29),C29:N29,0))</f>
        <v>9월</v>
      </c>
      <c r="R29" s="18" t="n">
        <f aca="false">MIN(C29:N29)</f>
        <v>-0.167721524358593</v>
      </c>
    </row>
    <row r="30" customFormat="false" ht="15" hidden="false" customHeight="false" outlineLevel="0" collapsed="false">
      <c r="A30" s="8" t="s">
        <v>117</v>
      </c>
      <c r="B30" s="9" t="s">
        <v>120</v>
      </c>
      <c r="C30" s="12" t="n">
        <f aca="false">AVERAGE('월별증감률(전월비)'!N30,'월별증감률(전월비)'!Z30,'월별증감률(전월비)'!AL30,'월별증감률(전월비)'!AX30,'월별증감률(전월비)'!BJ30)</f>
        <v>0</v>
      </c>
      <c r="D30" s="12" t="n">
        <f aca="false">AVERAGE('월별증감률(전월비)'!C30,'월별증감률(전월비)'!O30,'월별증감률(전월비)'!AA30,'월별증감률(전월비)'!AM30,'월별증감률(전월비)'!AY30,'월별증감률(전월비)'!BK30)</f>
        <v>0</v>
      </c>
      <c r="E30" s="12" t="n">
        <f aca="false">AVERAGE('월별증감률(전월비)'!D30,'월별증감률(전월비)'!P30,'월별증감률(전월비)'!AB30,'월별증감률(전월비)'!AN30,'월별증감률(전월비)'!AZ30,'월별증감률(전월비)'!BL30)</f>
        <v>0</v>
      </c>
      <c r="F30" s="12" t="n">
        <f aca="false">AVERAGE('월별증감률(전월비)'!E30,'월별증감률(전월비)'!Q30,'월별증감률(전월비)'!AC30,'월별증감률(전월비)'!AO30,'월별증감률(전월비)'!BA30,'월별증감률(전월비)'!BM30)</f>
        <v>0</v>
      </c>
      <c r="G30" s="12" t="n">
        <f aca="false">AVERAGE('월별증감률(전월비)'!F30,'월별증감률(전월비)'!R30,'월별증감률(전월비)'!AD30,'월별증감률(전월비)'!AP30,'월별증감률(전월비)'!BB30,'월별증감률(전월비)'!BN30)</f>
        <v>0</v>
      </c>
      <c r="H30" s="12" t="n">
        <f aca="false">AVERAGE('월별증감률(전월비)'!G30,'월별증감률(전월비)'!S30,'월별증감률(전월비)'!AE30,'월별증감률(전월비)'!AQ30,'월별증감률(전월비)'!BC30)</f>
        <v>0</v>
      </c>
      <c r="I30" s="12" t="n">
        <f aca="false">AVERAGE('월별증감률(전월비)'!H30,'월별증감률(전월비)'!T30,'월별증감률(전월비)'!AF30,'월별증감률(전월비)'!AR30,'월별증감률(전월비)'!BD30)</f>
        <v>0.0118817671092449</v>
      </c>
      <c r="J30" s="12" t="n">
        <f aca="false">AVERAGE('월별증감률(전월비)'!I30,'월별증감률(전월비)'!U30,'월별증감률(전월비)'!AG30,'월별증감률(전월비)'!AS30,'월별증감률(전월비)'!BE30)</f>
        <v>0.0251647017858933</v>
      </c>
      <c r="K30" s="12" t="n">
        <f aca="false">AVERAGE('월별증감률(전월비)'!J30,'월별증감률(전월비)'!V30,'월별증감률(전월비)'!AH30,'월별증감률(전월비)'!AT30,'월별증감률(전월비)'!BF30)</f>
        <v>0.0236932805081983</v>
      </c>
      <c r="L30" s="12" t="n">
        <f aca="false">AVERAGE('월별증감률(전월비)'!K30,'월별증감률(전월비)'!W30,'월별증감률(전월비)'!AI30,'월별증감률(전월비)'!AU30,'월별증감률(전월비)'!BG30)</f>
        <v>0</v>
      </c>
      <c r="M30" s="12" t="n">
        <f aca="false">AVERAGE('월별증감률(전월비)'!L30,'월별증감률(전월비)'!X30,'월별증감률(전월비)'!AJ30,'월별증감률(전월비)'!AV30,'월별증감률(전월비)'!BH30)</f>
        <v>0</v>
      </c>
      <c r="N30" s="12" t="n">
        <f aca="false">AVERAGE('월별증감률(전월비)'!M30,'월별증감률(전월비)'!Y30,'월별증감률(전월비)'!AK30,'월별증감률(전월비)'!AW30,'월별증감률(전월비)'!BI30)</f>
        <v>0</v>
      </c>
      <c r="O30" s="15" t="str">
        <f aca="false">INDEX($C$1:$N$1,MATCH(MAX(C30:N30),C30:N30,0))</f>
        <v>8월</v>
      </c>
      <c r="P30" s="16" t="n">
        <f aca="false">MAX(C30:N30)</f>
        <v>0.0251647017858933</v>
      </c>
      <c r="Q30" s="17" t="str">
        <f aca="false">INDEX($C$1:$N$1,MATCH(MIN(C30:N30),C30:N30,0))</f>
        <v>1월</v>
      </c>
      <c r="R30" s="18" t="n">
        <f aca="false">MIN(C30:N30)</f>
        <v>0</v>
      </c>
    </row>
    <row r="31" customFormat="false" ht="15" hidden="false" customHeight="false" outlineLevel="0" collapsed="false">
      <c r="A31" s="8" t="s">
        <v>117</v>
      </c>
      <c r="B31" s="9" t="s">
        <v>121</v>
      </c>
      <c r="C31" s="12" t="n">
        <f aca="false">AVERAGE('월별증감률(전월비)'!N31,'월별증감률(전월비)'!Z31,'월별증감률(전월비)'!AL31,'월별증감률(전월비)'!AX31,'월별증감률(전월비)'!BJ31)</f>
        <v>0.0628322056206968</v>
      </c>
      <c r="D31" s="12" t="n">
        <f aca="false">AVERAGE('월별증감률(전월비)'!C31,'월별증감률(전월비)'!O31,'월별증감률(전월비)'!AA31,'월별증감률(전월비)'!AM31,'월별증감률(전월비)'!AY31,'월별증감률(전월비)'!BK31)</f>
        <v>0.0275873422972465</v>
      </c>
      <c r="E31" s="12" t="n">
        <f aca="false">AVERAGE('월별증감률(전월비)'!D31,'월별증감률(전월비)'!P31,'월별증감률(전월비)'!AB31,'월별증감률(전월비)'!AN31,'월별증감률(전월비)'!AZ31,'월별증감률(전월비)'!BL31)</f>
        <v>0.0191880451511125</v>
      </c>
      <c r="F31" s="12" t="n">
        <f aca="false">AVERAGE('월별증감률(전월비)'!E31,'월별증감률(전월비)'!Q31,'월별증감률(전월비)'!AC31,'월별증감률(전월비)'!AO31,'월별증감률(전월비)'!BA31,'월별증감률(전월비)'!BM31)</f>
        <v>0</v>
      </c>
      <c r="G31" s="12" t="n">
        <f aca="false">AVERAGE('월별증감률(전월비)'!F31,'월별증감률(전월비)'!R31,'월별증감률(전월비)'!AD31,'월별증감률(전월비)'!AP31,'월별증감률(전월비)'!BB31,'월별증감률(전월비)'!BN31)</f>
        <v>0</v>
      </c>
      <c r="H31" s="12" t="n">
        <f aca="false">AVERAGE('월별증감률(전월비)'!G31,'월별증감률(전월비)'!S31,'월별증감률(전월비)'!AE31,'월별증감률(전월비)'!AQ31,'월별증감률(전월비)'!BC31)</f>
        <v>0</v>
      </c>
      <c r="I31" s="12" t="n">
        <f aca="false">AVERAGE('월별증감률(전월비)'!H31,'월별증감률(전월비)'!T31,'월별증감률(전월비)'!AF31,'월별증감률(전월비)'!AR31,'월별증감률(전월비)'!BD31)</f>
        <v>0.491138302204769</v>
      </c>
      <c r="J31" s="12" t="n">
        <f aca="false">AVERAGE('월별증감률(전월비)'!I31,'월별증감률(전월비)'!U31,'월별증감률(전월비)'!AG31,'월별증감률(전월비)'!AS31,'월별증감률(전월비)'!BE31)</f>
        <v>-0.118576760501817</v>
      </c>
      <c r="K31" s="12" t="n">
        <f aca="false">AVERAGE('월별증감률(전월비)'!J31,'월별증감률(전월비)'!V31,'월별증감률(전월비)'!AH31,'월별증감률(전월비)'!AT31,'월별증감률(전월비)'!BF31)</f>
        <v>-0.146338085407178</v>
      </c>
      <c r="L31" s="12" t="n">
        <f aca="false">AVERAGE('월별증감률(전월비)'!K31,'월별증감률(전월비)'!W31,'월별증감률(전월비)'!AI31,'월별증감률(전월비)'!AU31,'월별증감률(전월비)'!BG31)</f>
        <v>-0.144021067969536</v>
      </c>
      <c r="M31" s="12" t="n">
        <f aca="false">AVERAGE('월별증감률(전월비)'!L31,'월별증감률(전월비)'!X31,'월별증감률(전월비)'!AJ31,'월별증감률(전월비)'!AV31,'월별증감률(전월비)'!BH31)</f>
        <v>0.00513697775028303</v>
      </c>
      <c r="N31" s="12" t="n">
        <f aca="false">AVERAGE('월별증감률(전월비)'!M31,'월별증감률(전월비)'!Y31,'월별증감률(전월비)'!AK31,'월별증감률(전월비)'!AW31,'월별증감률(전월비)'!BI31)</f>
        <v>0.00555657843834387</v>
      </c>
      <c r="O31" s="15" t="str">
        <f aca="false">INDEX($C$1:$N$1,MATCH(MAX(C31:N31),C31:N31,0))</f>
        <v>7월</v>
      </c>
      <c r="P31" s="16" t="n">
        <f aca="false">MAX(C31:N31)</f>
        <v>0.491138302204769</v>
      </c>
      <c r="Q31" s="17" t="str">
        <f aca="false">INDEX($C$1:$N$1,MATCH(MIN(C31:N31),C31:N31,0))</f>
        <v>9월</v>
      </c>
      <c r="R31" s="18" t="n">
        <f aca="false">MIN(C31:N31)</f>
        <v>-0.146338085407178</v>
      </c>
    </row>
    <row r="32" customFormat="false" ht="15" hidden="false" customHeight="false" outlineLevel="0" collapsed="false">
      <c r="A32" s="8" t="s">
        <v>117</v>
      </c>
      <c r="B32" s="9" t="s">
        <v>122</v>
      </c>
      <c r="C32" s="12" t="n">
        <f aca="false">AVERAGE('월별증감률(전월비)'!N32,'월별증감률(전월비)'!Z32,'월별증감률(전월비)'!AL32,'월별증감률(전월비)'!AX32,'월별증감률(전월비)'!BJ32)</f>
        <v>0.16743197727761</v>
      </c>
      <c r="D32" s="12" t="n">
        <f aca="false">AVERAGE('월별증감률(전월비)'!C32,'월별증감률(전월비)'!O32,'월별증감률(전월비)'!AA32,'월별증감률(전월비)'!AM32,'월별증감률(전월비)'!AY32,'월별증감률(전월비)'!BK32)</f>
        <v>0.0644214579372736</v>
      </c>
      <c r="E32" s="12" t="n">
        <f aca="false">AVERAGE('월별증감률(전월비)'!D32,'월별증감률(전월비)'!P32,'월별증감률(전월비)'!AB32,'월별증감률(전월비)'!AN32,'월별증감률(전월비)'!AZ32,'월별증감률(전월비)'!BL32)</f>
        <v>-0.016083156790758</v>
      </c>
      <c r="F32" s="12" t="n">
        <f aca="false">AVERAGE('월별증감률(전월비)'!E32,'월별증감률(전월비)'!Q32,'월별증감률(전월비)'!AC32,'월별증감률(전월비)'!AO32,'월별증감률(전월비)'!BA32,'월별증감률(전월비)'!BM32)</f>
        <v>0</v>
      </c>
      <c r="G32" s="12" t="n">
        <f aca="false">AVERAGE('월별증감률(전월비)'!F32,'월별증감률(전월비)'!R32,'월별증감률(전월비)'!AD32,'월별증감률(전월비)'!AP32,'월별증감률(전월비)'!BB32,'월별증감률(전월비)'!BN32)</f>
        <v>0</v>
      </c>
      <c r="H32" s="12" t="n">
        <f aca="false">AVERAGE('월별증감률(전월비)'!G32,'월별증감률(전월비)'!S32,'월별증감률(전월비)'!AE32,'월별증감률(전월비)'!AQ32,'월별증감률(전월비)'!BC32)</f>
        <v>0</v>
      </c>
      <c r="I32" s="12" t="n">
        <f aca="false">AVERAGE('월별증감률(전월비)'!H32,'월별증감률(전월비)'!T32,'월별증감률(전월비)'!AF32,'월별증감률(전월비)'!AR32,'월별증감률(전월비)'!BD32)</f>
        <v>0</v>
      </c>
      <c r="J32" s="12" t="n">
        <f aca="false">AVERAGE('월별증감률(전월비)'!I32,'월별증감률(전월비)'!U32,'월별증감률(전월비)'!AG32,'월별증감률(전월비)'!AS32,'월별증감률(전월비)'!BE32)</f>
        <v>0</v>
      </c>
      <c r="K32" s="12" t="n">
        <f aca="false">AVERAGE('월별증감률(전월비)'!J32,'월별증감률(전월비)'!V32,'월별증감률(전월비)'!AH32,'월별증감률(전월비)'!AT32,'월별증감률(전월비)'!BF32)</f>
        <v>0</v>
      </c>
      <c r="L32" s="12" t="n">
        <f aca="false">AVERAGE('월별증감률(전월비)'!K32,'월별증감률(전월비)'!W32,'월별증감률(전월비)'!AI32,'월별증감률(전월비)'!AU32,'월별증감률(전월비)'!BG32)</f>
        <v>-0.182876296935458</v>
      </c>
      <c r="M32" s="12" t="n">
        <f aca="false">AVERAGE('월별증감률(전월비)'!L32,'월별증감률(전월비)'!X32,'월별증감률(전월비)'!AJ32,'월별증감률(전월비)'!AV32,'월별증감률(전월비)'!BH32)</f>
        <v>0.0763773466259922</v>
      </c>
      <c r="N32" s="12" t="n">
        <f aca="false">AVERAGE('월별증감률(전월비)'!M32,'월별증감률(전월비)'!Y32,'월별증감률(전월비)'!AK32,'월별증감률(전월비)'!AW32,'월별증감률(전월비)'!BI32)</f>
        <v>0.120462746195708</v>
      </c>
      <c r="O32" s="15" t="str">
        <f aca="false">INDEX($C$1:$N$1,MATCH(MAX(C32:N32),C32:N32,0))</f>
        <v>1월</v>
      </c>
      <c r="P32" s="16" t="n">
        <f aca="false">MAX(C32:N32)</f>
        <v>0.16743197727761</v>
      </c>
      <c r="Q32" s="17" t="str">
        <f aca="false">INDEX($C$1:$N$1,MATCH(MIN(C32:N32),C32:N32,0))</f>
        <v>10월</v>
      </c>
      <c r="R32" s="18" t="n">
        <f aca="false">MIN(C32:N32)</f>
        <v>-0.182876296935458</v>
      </c>
    </row>
    <row r="33" customFormat="false" ht="15" hidden="false" customHeight="false" outlineLevel="0" collapsed="false">
      <c r="A33" s="8" t="s">
        <v>117</v>
      </c>
      <c r="B33" s="9" t="s">
        <v>123</v>
      </c>
      <c r="C33" s="12" t="n">
        <f aca="false">AVERAGE('월별증감률(전월비)'!N33,'월별증감률(전월비)'!Z33,'월별증감률(전월비)'!AL33,'월별증감률(전월비)'!AX33,'월별증감률(전월비)'!BJ33)</f>
        <v>0.0191437027223608</v>
      </c>
      <c r="D33" s="12" t="n">
        <f aca="false">AVERAGE('월별증감률(전월비)'!C33,'월별증감률(전월비)'!O33,'월별증감률(전월비)'!AA33,'월별증감률(전월비)'!AM33,'월별증감률(전월비)'!AY33,'월별증감률(전월비)'!BK33)</f>
        <v>0.0830662089235464</v>
      </c>
      <c r="E33" s="12" t="n">
        <f aca="false">AVERAGE('월별증감률(전월비)'!D33,'월별증감률(전월비)'!P33,'월별증감률(전월비)'!AB33,'월별증감률(전월비)'!AN33,'월별증감률(전월비)'!AZ33,'월별증감률(전월비)'!BL33)</f>
        <v>0.0490558192499255</v>
      </c>
      <c r="F33" s="12" t="n">
        <f aca="false">AVERAGE('월별증감률(전월비)'!E33,'월별증감률(전월비)'!Q33,'월별증감률(전월비)'!AC33,'월별증감률(전월비)'!AO33,'월별증감률(전월비)'!BA33,'월별증감률(전월비)'!BM33)</f>
        <v>0</v>
      </c>
      <c r="G33" s="12" t="n">
        <f aca="false">AVERAGE('월별증감률(전월비)'!F33,'월별증감률(전월비)'!R33,'월별증감률(전월비)'!AD33,'월별증감률(전월비)'!AP33,'월별증감률(전월비)'!BB33,'월별증감률(전월비)'!BN33)</f>
        <v>0</v>
      </c>
      <c r="H33" s="12" t="n">
        <f aca="false">AVERAGE('월별증감률(전월비)'!G33,'월별증감률(전월비)'!S33,'월별증감률(전월비)'!AE33,'월별증감률(전월비)'!AQ33,'월별증감률(전월비)'!BC33)</f>
        <v>0</v>
      </c>
      <c r="I33" s="12" t="n">
        <f aca="false">AVERAGE('월별증감률(전월비)'!H33,'월별증감률(전월비)'!T33,'월별증감률(전월비)'!AF33,'월별증감률(전월비)'!AR33,'월별증감률(전월비)'!BD33)</f>
        <v>0</v>
      </c>
      <c r="J33" s="12" t="n">
        <f aca="false">AVERAGE('월별증감률(전월비)'!I33,'월별증감률(전월비)'!U33,'월별증감률(전월비)'!AG33,'월별증감률(전월비)'!AS33,'월별증감률(전월비)'!BE33)</f>
        <v>0</v>
      </c>
      <c r="K33" s="12" t="n">
        <f aca="false">AVERAGE('월별증감률(전월비)'!J33,'월별증감률(전월비)'!V33,'월별증감률(전월비)'!AH33,'월별증감률(전월비)'!AT33,'월별증감률(전월비)'!BF33)</f>
        <v>0</v>
      </c>
      <c r="L33" s="12" t="n">
        <f aca="false">AVERAGE('월별증감률(전월비)'!K33,'월별증감률(전월비)'!W33,'월별증감률(전월비)'!AI33,'월별증감률(전월비)'!AU33,'월별증감률(전월비)'!BG33)</f>
        <v>-0.183949209684643</v>
      </c>
      <c r="M33" s="12" t="n">
        <f aca="false">AVERAGE('월별증감률(전월비)'!L33,'월별증감률(전월비)'!X33,'월별증감률(전월비)'!AJ33,'월별증감률(전월비)'!AV33,'월별증감률(전월비)'!BH33)</f>
        <v>-0.119056399641562</v>
      </c>
      <c r="N33" s="12" t="n">
        <f aca="false">AVERAGE('월별증감률(전월비)'!M33,'월별증감률(전월비)'!Y33,'월별증감률(전월비)'!AK33,'월별증감률(전월비)'!AW33,'월별증감률(전월비)'!BI33)</f>
        <v>0.191092906913444</v>
      </c>
      <c r="O33" s="15" t="str">
        <f aca="false">INDEX($C$1:$N$1,MATCH(MAX(C33:N33),C33:N33,0))</f>
        <v>12월</v>
      </c>
      <c r="P33" s="16" t="n">
        <f aca="false">MAX(C33:N33)</f>
        <v>0.191092906913444</v>
      </c>
      <c r="Q33" s="17" t="str">
        <f aca="false">INDEX($C$1:$N$1,MATCH(MIN(C33:N33),C33:N33,0))</f>
        <v>10월</v>
      </c>
      <c r="R33" s="18" t="n">
        <f aca="false">MIN(C33:N33)</f>
        <v>-0.183949209684643</v>
      </c>
    </row>
    <row r="34" customFormat="false" ht="15" hidden="false" customHeight="false" outlineLevel="0" collapsed="false">
      <c r="A34" s="8" t="s">
        <v>124</v>
      </c>
      <c r="B34" s="9" t="s">
        <v>125</v>
      </c>
      <c r="C34" s="12" t="n">
        <f aca="false">AVERAGE('월별증감률(전월비)'!N34,'월별증감률(전월비)'!Z34,'월별증감률(전월비)'!AL34,'월별증감률(전월비)'!AX34,'월별증감률(전월비)'!BJ34)</f>
        <v>0.0112052237652608</v>
      </c>
      <c r="D34" s="12" t="n">
        <f aca="false">AVERAGE('월별증감률(전월비)'!C34,'월별증감률(전월비)'!O34,'월별증감률(전월비)'!AA34,'월별증감률(전월비)'!AM34,'월별증감률(전월비)'!AY34,'월별증감률(전월비)'!BK34)</f>
        <v>-0.0272256675920772</v>
      </c>
      <c r="E34" s="12" t="n">
        <f aca="false">AVERAGE('월별증감률(전월비)'!D34,'월별증감률(전월비)'!P34,'월별증감률(전월비)'!AB34,'월별증감률(전월비)'!AN34,'월별증감률(전월비)'!AZ34,'월별증감률(전월비)'!BL34)</f>
        <v>-0.0193171195250643</v>
      </c>
      <c r="F34" s="12" t="n">
        <f aca="false">AVERAGE('월별증감률(전월비)'!E34,'월별증감률(전월비)'!Q34,'월별증감률(전월비)'!AC34,'월별증감률(전월비)'!AO34,'월별증감률(전월비)'!BA34,'월별증감률(전월비)'!BM34)</f>
        <v>-0.00939894629936972</v>
      </c>
      <c r="G34" s="12" t="n">
        <f aca="false">AVERAGE('월별증감률(전월비)'!F34,'월별증감률(전월비)'!R34,'월별증감률(전월비)'!AD34,'월별증감률(전월비)'!AP34,'월별증감률(전월비)'!BB34,'월별증감률(전월비)'!BN34)</f>
        <v>-0.00889519892753005</v>
      </c>
      <c r="H34" s="12" t="n">
        <f aca="false">AVERAGE('월별증감률(전월비)'!G34,'월별증감률(전월비)'!S34,'월별증감률(전월비)'!AE34,'월별증감률(전월비)'!AQ34,'월별증감률(전월비)'!BC34)</f>
        <v>0.00956341525142237</v>
      </c>
      <c r="I34" s="12" t="n">
        <f aca="false">AVERAGE('월별증감률(전월비)'!H34,'월별증감률(전월비)'!T34,'월별증감률(전월비)'!AF34,'월별증감률(전월비)'!AR34,'월별증감률(전월비)'!BD34)</f>
        <v>0.00550454732013328</v>
      </c>
      <c r="J34" s="12" t="n">
        <f aca="false">AVERAGE('월별증감률(전월비)'!I34,'월별증감률(전월비)'!U34,'월별증감률(전월비)'!AG34,'월별증감률(전월비)'!AS34,'월별증감률(전월비)'!BE34)</f>
        <v>0.0756856703703335</v>
      </c>
      <c r="K34" s="12" t="n">
        <f aca="false">AVERAGE('월별증감률(전월비)'!J34,'월별증감률(전월비)'!V34,'월별증감률(전월비)'!AH34,'월별증감률(전월비)'!AT34,'월별증감률(전월비)'!BF34)</f>
        <v>0.0756844218798384</v>
      </c>
      <c r="L34" s="12" t="n">
        <f aca="false">AVERAGE('월별증감률(전월비)'!K34,'월별증감률(전월비)'!W34,'월별증감률(전월비)'!AI34,'월별증감률(전월비)'!AU34,'월별증감률(전월비)'!BG34)</f>
        <v>-0.0525388064036831</v>
      </c>
      <c r="M34" s="12" t="n">
        <f aca="false">AVERAGE('월별증감률(전월비)'!L34,'월별증감률(전월비)'!X34,'월별증감률(전월비)'!AJ34,'월별증감률(전월비)'!AV34,'월별증감률(전월비)'!BH34)</f>
        <v>-0.0235481311438678</v>
      </c>
      <c r="N34" s="12" t="n">
        <f aca="false">AVERAGE('월별증감률(전월비)'!M34,'월별증감률(전월비)'!Y34,'월별증감률(전월비)'!AK34,'월별증감률(전월비)'!AW34,'월별증감률(전월비)'!BI34)</f>
        <v>-0.0189963074524649</v>
      </c>
      <c r="O34" s="15" t="str">
        <f aca="false">INDEX($C$1:$N$1,MATCH(MAX(C34:N34),C34:N34,0))</f>
        <v>8월</v>
      </c>
      <c r="P34" s="16" t="n">
        <f aca="false">MAX(C34:N34)</f>
        <v>0.0756856703703335</v>
      </c>
      <c r="Q34" s="17" t="str">
        <f aca="false">INDEX($C$1:$N$1,MATCH(MIN(C34:N34),C34:N34,0))</f>
        <v>10월</v>
      </c>
      <c r="R34" s="18" t="n">
        <f aca="false">MIN(C34:N34)</f>
        <v>-0.0525388064036831</v>
      </c>
    </row>
    <row r="35" customFormat="false" ht="15" hidden="false" customHeight="false" outlineLevel="0" collapsed="false">
      <c r="A35" s="8" t="s">
        <v>124</v>
      </c>
      <c r="B35" s="9" t="s">
        <v>126</v>
      </c>
      <c r="C35" s="12" t="n">
        <f aca="false">AVERAGE('월별증감률(전월비)'!N35,'월별증감률(전월비)'!Z35,'월별증감률(전월비)'!AL35,'월별증감률(전월비)'!AX35,'월별증감률(전월비)'!BJ35)</f>
        <v>-0.0630389174747507</v>
      </c>
      <c r="D35" s="12" t="n">
        <f aca="false">AVERAGE('월별증감률(전월비)'!C35,'월별증감률(전월비)'!O35,'월별증감률(전월비)'!AA35,'월별증감률(전월비)'!AM35,'월별증감률(전월비)'!AY35,'월별증감률(전월비)'!BK35)</f>
        <v>-0.0580123071292616</v>
      </c>
      <c r="E35" s="12" t="n">
        <f aca="false">AVERAGE('월별증감률(전월비)'!D35,'월별증감률(전월비)'!P35,'월별증감률(전월비)'!AB35,'월별증감률(전월비)'!AN35,'월별증감률(전월비)'!AZ35,'월별증감률(전월비)'!BL35)</f>
        <v>0.0576299589977532</v>
      </c>
      <c r="F35" s="12" t="n">
        <f aca="false">AVERAGE('월별증감률(전월비)'!E35,'월별증감률(전월비)'!Q35,'월별증감률(전월비)'!AC35,'월별증감률(전월비)'!AO35,'월별증감률(전월비)'!BA35,'월별증감률(전월비)'!BM35)</f>
        <v>0.12895876630561</v>
      </c>
      <c r="G35" s="12" t="n">
        <f aca="false">AVERAGE('월별증감률(전월비)'!F35,'월별증감률(전월비)'!R35,'월별증감률(전월비)'!AD35,'월별증감률(전월비)'!AP35,'월별증감률(전월비)'!BB35,'월별증감률(전월비)'!BN35)</f>
        <v>0.0662322112677898</v>
      </c>
      <c r="H35" s="12" t="n">
        <f aca="false">AVERAGE('월별증감률(전월비)'!G35,'월별증감률(전월비)'!S35,'월별증감률(전월비)'!AE35,'월별증감률(전월비)'!AQ35,'월별증감률(전월비)'!BC35)</f>
        <v>0.0462279768456234</v>
      </c>
      <c r="I35" s="12" t="n">
        <f aca="false">AVERAGE('월별증감률(전월비)'!H35,'월별증감률(전월비)'!T35,'월별증감률(전월비)'!AF35,'월별증감률(전월비)'!AR35,'월별증감률(전월비)'!BD35)</f>
        <v>-0.00706485786555424</v>
      </c>
      <c r="J35" s="12" t="n">
        <f aca="false">AVERAGE('월별증감률(전월비)'!I35,'월별증감률(전월비)'!U35,'월별증감률(전월비)'!AG35,'월별증감률(전월비)'!AS35,'월별증감률(전월비)'!BE35)</f>
        <v>0.0450960288331345</v>
      </c>
      <c r="K35" s="12" t="n">
        <f aca="false">AVERAGE('월별증감률(전월비)'!J35,'월별증감률(전월비)'!V35,'월별증감률(전월비)'!AH35,'월별증감률(전월비)'!AT35,'월별증감률(전월비)'!BF35)</f>
        <v>0.0504806034519525</v>
      </c>
      <c r="L35" s="12" t="n">
        <f aca="false">AVERAGE('월별증감률(전월비)'!K35,'월별증감률(전월비)'!W35,'월별증감률(전월비)'!AI35,'월별증감률(전월비)'!AU35,'월별증감률(전월비)'!BG35)</f>
        <v>-0.140216784150857</v>
      </c>
      <c r="M35" s="12" t="n">
        <f aca="false">AVERAGE('월별증감률(전월비)'!L35,'월별증감률(전월비)'!X35,'월별증감률(전월비)'!AJ35,'월별증감률(전월비)'!AV35,'월별증감률(전월비)'!BH35)</f>
        <v>-0.00809007874250327</v>
      </c>
      <c r="N35" s="12" t="n">
        <f aca="false">AVERAGE('월별증감률(전월비)'!M35,'월별증감률(전월비)'!Y35,'월별증감률(전월비)'!AK35,'월별증감률(전월비)'!AW35,'월별증감률(전월비)'!BI35)</f>
        <v>-0.0142931086546769</v>
      </c>
      <c r="O35" s="15" t="str">
        <f aca="false">INDEX($C$1:$N$1,MATCH(MAX(C35:N35),C35:N35,0))</f>
        <v>4월</v>
      </c>
      <c r="P35" s="16" t="n">
        <f aca="false">MAX(C35:N35)</f>
        <v>0.12895876630561</v>
      </c>
      <c r="Q35" s="17" t="str">
        <f aca="false">INDEX($C$1:$N$1,MATCH(MIN(C35:N35),C35:N35,0))</f>
        <v>10월</v>
      </c>
      <c r="R35" s="18" t="n">
        <f aca="false">MIN(C35:N35)</f>
        <v>-0.140216784150857</v>
      </c>
    </row>
    <row r="36" customFormat="false" ht="15" hidden="false" customHeight="false" outlineLevel="0" collapsed="false">
      <c r="A36" s="8" t="s">
        <v>124</v>
      </c>
      <c r="B36" s="9" t="s">
        <v>127</v>
      </c>
      <c r="C36" s="12" t="n">
        <f aca="false">AVERAGE('월별증감률(전월비)'!N36,'월별증감률(전월비)'!Z36,'월별증감률(전월비)'!AL36,'월별증감률(전월비)'!AX36,'월별증감률(전월비)'!BJ36)</f>
        <v>0.00695092181486117</v>
      </c>
      <c r="D36" s="12" t="n">
        <f aca="false">AVERAGE('월별증감률(전월비)'!C36,'월별증감률(전월비)'!O36,'월별증감률(전월비)'!AA36,'월별증감률(전월비)'!AM36,'월별증감률(전월비)'!AY36,'월별증감률(전월비)'!BK36)</f>
        <v>0.037378426749558</v>
      </c>
      <c r="E36" s="12" t="n">
        <f aca="false">AVERAGE('월별증감률(전월비)'!D36,'월별증감률(전월비)'!P36,'월별증감률(전월비)'!AB36,'월별증감률(전월비)'!AN36,'월별증감률(전월비)'!AZ36,'월별증감률(전월비)'!BL36)</f>
        <v>0.0259182851481705</v>
      </c>
      <c r="F36" s="12" t="n">
        <f aca="false">AVERAGE('월별증감률(전월비)'!E36,'월별증감률(전월비)'!Q36,'월별증감률(전월비)'!AC36,'월별증감률(전월비)'!AO36,'월별증감률(전월비)'!BA36,'월별증감률(전월비)'!BM36)</f>
        <v>0.00364247852455912</v>
      </c>
      <c r="G36" s="12" t="n">
        <f aca="false">AVERAGE('월별증감률(전월비)'!F36,'월별증감률(전월비)'!R36,'월별증감률(전월비)'!AD36,'월별증감률(전월비)'!AP36,'월별증감률(전월비)'!BB36,'월별증감률(전월비)'!BN36)</f>
        <v>-0.0104531165685092</v>
      </c>
      <c r="H36" s="12" t="n">
        <f aca="false">AVERAGE('월별증감률(전월비)'!G36,'월별증감률(전월비)'!S36,'월별증감률(전월비)'!AE36,'월별증감률(전월비)'!AQ36,'월별증감률(전월비)'!BC36)</f>
        <v>-0.0218363074856301</v>
      </c>
      <c r="I36" s="12" t="n">
        <f aca="false">AVERAGE('월별증감률(전월비)'!H36,'월별증감률(전월비)'!T36,'월별증감률(전월비)'!AF36,'월별증감률(전월비)'!AR36,'월별증감률(전월비)'!BD36)</f>
        <v>0.0682312460529784</v>
      </c>
      <c r="J36" s="12" t="n">
        <f aca="false">AVERAGE('월별증감률(전월비)'!I36,'월별증감률(전월비)'!U36,'월별증감률(전월비)'!AG36,'월별증감률(전월비)'!AS36,'월별증감률(전월비)'!BE36)</f>
        <v>-0.021743544997722</v>
      </c>
      <c r="K36" s="12" t="n">
        <f aca="false">AVERAGE('월별증감률(전월비)'!J36,'월별증감률(전월비)'!V36,'월별증감률(전월비)'!AH36,'월별증감률(전월비)'!AT36,'월별증감률(전월비)'!BF36)</f>
        <v>-0.0521454064212094</v>
      </c>
      <c r="L36" s="12" t="n">
        <f aca="false">AVERAGE('월별증감률(전월비)'!K36,'월별증감률(전월비)'!W36,'월별증감률(전월비)'!AI36,'월별증감률(전월비)'!AU36,'월별증감률(전월비)'!BG36)</f>
        <v>0.00642921335153903</v>
      </c>
      <c r="M36" s="12" t="n">
        <f aca="false">AVERAGE('월별증감률(전월비)'!L36,'월별증감률(전월비)'!X36,'월별증감률(전월비)'!AJ36,'월별증감률(전월비)'!AV36,'월별증감률(전월비)'!BH36)</f>
        <v>-0.0258679607649773</v>
      </c>
      <c r="N36" s="12" t="n">
        <f aca="false">AVERAGE('월별증감률(전월비)'!M36,'월별증감률(전월비)'!Y36,'월별증감률(전월비)'!AK36,'월별증감률(전월비)'!AW36,'월별증감률(전월비)'!BI36)</f>
        <v>0.0669666742221363</v>
      </c>
      <c r="O36" s="15" t="str">
        <f aca="false">INDEX($C$1:$N$1,MATCH(MAX(C36:N36),C36:N36,0))</f>
        <v>7월</v>
      </c>
      <c r="P36" s="16" t="n">
        <f aca="false">MAX(C36:N36)</f>
        <v>0.0682312460529784</v>
      </c>
      <c r="Q36" s="17" t="str">
        <f aca="false">INDEX($C$1:$N$1,MATCH(MIN(C36:N36),C36:N36,0))</f>
        <v>9월</v>
      </c>
      <c r="R36" s="18" t="n">
        <f aca="false">MIN(C36:N36)</f>
        <v>-0.0521454064212094</v>
      </c>
    </row>
    <row r="37" customFormat="false" ht="15" hidden="false" customHeight="false" outlineLevel="0" collapsed="false">
      <c r="A37" s="8" t="s">
        <v>124</v>
      </c>
      <c r="B37" s="9" t="s">
        <v>128</v>
      </c>
      <c r="C37" s="12" t="n">
        <f aca="false">AVERAGE('월별증감률(전월비)'!N37,'월별증감률(전월비)'!Z37,'월별증감률(전월비)'!AL37,'월별증감률(전월비)'!AX37,'월별증감률(전월비)'!BJ37)</f>
        <v>0.0487527338155577</v>
      </c>
      <c r="D37" s="12" t="n">
        <f aca="false">AVERAGE('월별증감률(전월비)'!C37,'월별증감률(전월비)'!O37,'월별증감률(전월비)'!AA37,'월별증감률(전월비)'!AM37,'월별증감률(전월비)'!AY37,'월별증감률(전월비)'!BK37)</f>
        <v>0.0257813242619723</v>
      </c>
      <c r="E37" s="12" t="n">
        <f aca="false">AVERAGE('월별증감률(전월비)'!D37,'월별증감률(전월비)'!P37,'월별증감률(전월비)'!AB37,'월별증감률(전월비)'!AN37,'월별증감률(전월비)'!AZ37,'월별증감률(전월비)'!BL37)</f>
        <v>0.0548906546565153</v>
      </c>
      <c r="F37" s="12" t="n">
        <f aca="false">AVERAGE('월별증감률(전월비)'!E37,'월별증감률(전월비)'!Q37,'월별증감률(전월비)'!AC37,'월별증감률(전월비)'!AO37,'월별증감률(전월비)'!BA37,'월별증감률(전월비)'!BM37)</f>
        <v>-0.0206552754386267</v>
      </c>
      <c r="G37" s="12" t="n">
        <f aca="false">AVERAGE('월별증감률(전월비)'!F37,'월별증감률(전월비)'!R37,'월별증감률(전월비)'!AD37,'월별증감률(전월비)'!AP37,'월별증감률(전월비)'!BB37,'월별증감률(전월비)'!BN37)</f>
        <v>-0.0752727408980349</v>
      </c>
      <c r="H37" s="12" t="n">
        <f aca="false">AVERAGE('월별증감률(전월비)'!G37,'월별증감률(전월비)'!S37,'월별증감률(전월비)'!AE37,'월별증감률(전월비)'!AQ37,'월별증감률(전월비)'!BC37)</f>
        <v>-0.0522124738286698</v>
      </c>
      <c r="I37" s="12" t="n">
        <f aca="false">AVERAGE('월별증감률(전월비)'!H37,'월별증감률(전월비)'!T37,'월별증감률(전월비)'!AF37,'월별증감률(전월비)'!AR37,'월별증감률(전월비)'!BD37)</f>
        <v>0.00358101263985471</v>
      </c>
      <c r="J37" s="12" t="n">
        <f aca="false">AVERAGE('월별증감률(전월비)'!I37,'월별증감률(전월비)'!U37,'월별증감률(전월비)'!AG37,'월별증감률(전월비)'!AS37,'월별증감률(전월비)'!BE37)</f>
        <v>0.0105337643794436</v>
      </c>
      <c r="K37" s="12" t="n">
        <f aca="false">AVERAGE('월별증감률(전월비)'!J37,'월별증감률(전월비)'!V37,'월별증감률(전월비)'!AH37,'월별증감률(전월비)'!AT37,'월별증감률(전월비)'!BF37)</f>
        <v>-0.0284728400957005</v>
      </c>
      <c r="L37" s="12" t="n">
        <f aca="false">AVERAGE('월별증감률(전월비)'!K37,'월별증감률(전월비)'!W37,'월별증감률(전월비)'!AI37,'월별증감률(전월비)'!AU37,'월별증감률(전월비)'!BG37)</f>
        <v>-0.0113159650715754</v>
      </c>
      <c r="M37" s="12" t="n">
        <f aca="false">AVERAGE('월별증감률(전월비)'!L37,'월별증감률(전월비)'!X37,'월별증감률(전월비)'!AJ37,'월별증감률(전월비)'!AV37,'월별증감률(전월비)'!BH37)</f>
        <v>0.0110466057619952</v>
      </c>
      <c r="N37" s="12" t="n">
        <f aca="false">AVERAGE('월별증감률(전월비)'!M37,'월별증감률(전월비)'!Y37,'월별증감률(전월비)'!AK37,'월별증감률(전월비)'!AW37,'월별증감률(전월비)'!BI37)</f>
        <v>0.0224920041948549</v>
      </c>
      <c r="O37" s="15" t="str">
        <f aca="false">INDEX($C$1:$N$1,MATCH(MAX(C37:N37),C37:N37,0))</f>
        <v>3월</v>
      </c>
      <c r="P37" s="16" t="n">
        <f aca="false">MAX(C37:N37)</f>
        <v>0.0548906546565153</v>
      </c>
      <c r="Q37" s="17" t="str">
        <f aca="false">INDEX($C$1:$N$1,MATCH(MIN(C37:N37),C37:N37,0))</f>
        <v>5월</v>
      </c>
      <c r="R37" s="18" t="n">
        <f aca="false">MIN(C37:N37)</f>
        <v>-0.0752727408980349</v>
      </c>
    </row>
    <row r="38" customFormat="false" ht="15" hidden="false" customHeight="false" outlineLevel="0" collapsed="false">
      <c r="A38" s="8" t="s">
        <v>124</v>
      </c>
      <c r="B38" s="9" t="s">
        <v>129</v>
      </c>
      <c r="C38" s="12" t="n">
        <f aca="false">AVERAGE('월별증감률(전월비)'!N38,'월별증감률(전월비)'!Z38,'월별증감률(전월비)'!AL38,'월별증감률(전월비)'!AX38,'월별증감률(전월비)'!BJ38)</f>
        <v>-0.0123745606334963</v>
      </c>
      <c r="D38" s="12" t="n">
        <f aca="false">AVERAGE('월별증감률(전월비)'!C38,'월별증감률(전월비)'!O38,'월별증감률(전월비)'!AA38,'월별증감률(전월비)'!AM38,'월별증감률(전월비)'!AY38,'월별증감률(전월비)'!BK38)</f>
        <v>-0.00965386025013019</v>
      </c>
      <c r="E38" s="12" t="n">
        <f aca="false">AVERAGE('월별증감률(전월비)'!D38,'월별증감률(전월비)'!P38,'월별증감률(전월비)'!AB38,'월별증감률(전월비)'!AN38,'월별증감률(전월비)'!AZ38,'월별증감률(전월비)'!BL38)</f>
        <v>0.0271254969369605</v>
      </c>
      <c r="F38" s="12" t="n">
        <f aca="false">AVERAGE('월별증감률(전월비)'!E38,'월별증감률(전월비)'!Q38,'월별증감률(전월비)'!AC38,'월별증감률(전월비)'!AO38,'월별증감률(전월비)'!BA38,'월별증감률(전월비)'!BM38)</f>
        <v>0.0520253825536028</v>
      </c>
      <c r="G38" s="12" t="n">
        <f aca="false">AVERAGE('월별증감률(전월비)'!F38,'월별증감률(전월비)'!R38,'월별증감률(전월비)'!AD38,'월별증감률(전월비)'!AP38,'월별증감률(전월비)'!BB38,'월별증감률(전월비)'!BN38)</f>
        <v>0.0501188096644957</v>
      </c>
      <c r="H38" s="12" t="n">
        <f aca="false">AVERAGE('월별증감률(전월비)'!G38,'월별증감률(전월비)'!S38,'월별증감률(전월비)'!AE38,'월별증감률(전월비)'!AQ38,'월별증감률(전월비)'!BC38)</f>
        <v>0.0111115839707725</v>
      </c>
      <c r="I38" s="12" t="n">
        <f aca="false">AVERAGE('월별증감률(전월비)'!H38,'월별증감률(전월비)'!T38,'월별증감률(전월비)'!AF38,'월별증감률(전월비)'!AR38,'월별증감률(전월비)'!BD38)</f>
        <v>-0.0157583347725986</v>
      </c>
      <c r="J38" s="12" t="n">
        <f aca="false">AVERAGE('월별증감률(전월비)'!I38,'월별증감률(전월비)'!U38,'월별증감률(전월비)'!AG38,'월별증감률(전월비)'!AS38,'월별증감률(전월비)'!BE38)</f>
        <v>-0.0224001037036928</v>
      </c>
      <c r="K38" s="12" t="n">
        <f aca="false">AVERAGE('월별증감률(전월비)'!J38,'월별증감률(전월비)'!V38,'월별증감률(전월비)'!AH38,'월별증감률(전월비)'!AT38,'월별증감률(전월비)'!BF38)</f>
        <v>0.00981268929018286</v>
      </c>
      <c r="L38" s="12" t="n">
        <f aca="false">AVERAGE('월별증감률(전월비)'!K38,'월별증감률(전월비)'!W38,'월별증감률(전월비)'!AI38,'월별증감률(전월비)'!AU38,'월별증감률(전월비)'!BG38)</f>
        <v>-0.0370607968169241</v>
      </c>
      <c r="M38" s="12" t="n">
        <f aca="false">AVERAGE('월별증감률(전월비)'!L38,'월별증감률(전월비)'!X38,'월별증감률(전월비)'!AJ38,'월별증감률(전월비)'!AV38,'월별증감률(전월비)'!BH38)</f>
        <v>-0.00493358904491854</v>
      </c>
      <c r="N38" s="12" t="n">
        <f aca="false">AVERAGE('월별증감률(전월비)'!M38,'월별증감률(전월비)'!Y38,'월별증감률(전월비)'!AK38,'월별증감률(전월비)'!AW38,'월별증감률(전월비)'!BI38)</f>
        <v>-0.00811471048755725</v>
      </c>
      <c r="O38" s="15" t="str">
        <f aca="false">INDEX($C$1:$N$1,MATCH(MAX(C38:N38),C38:N38,0))</f>
        <v>4월</v>
      </c>
      <c r="P38" s="16" t="n">
        <f aca="false">MAX(C38:N38)</f>
        <v>0.0520253825536028</v>
      </c>
      <c r="Q38" s="17" t="str">
        <f aca="false">INDEX($C$1:$N$1,MATCH(MIN(C38:N38),C38:N38,0))</f>
        <v>10월</v>
      </c>
      <c r="R38" s="18" t="n">
        <f aca="false">MIN(C38:N38)</f>
        <v>-0.0370607968169241</v>
      </c>
    </row>
    <row r="39" customFormat="false" ht="15" hidden="false" customHeight="false" outlineLevel="0" collapsed="false">
      <c r="A39" s="8" t="s">
        <v>124</v>
      </c>
      <c r="B39" s="9" t="s">
        <v>130</v>
      </c>
      <c r="C39" s="12" t="n">
        <f aca="false">AVERAGE('월별증감률(전월비)'!N39,'월별증감률(전월비)'!Z39,'월별증감률(전월비)'!AL39,'월별증감률(전월비)'!AX39,'월별증감률(전월비)'!BJ39)</f>
        <v>0</v>
      </c>
      <c r="D39" s="12" t="n">
        <f aca="false">AVERAGE('월별증감률(전월비)'!C39,'월별증감률(전월비)'!O39,'월별증감률(전월비)'!AA39,'월별증감률(전월비)'!AM39,'월별증감률(전월비)'!AY39,'월별증감률(전월비)'!BK39)</f>
        <v>0</v>
      </c>
      <c r="E39" s="12" t="n">
        <f aca="false">AVERAGE('월별증감률(전월비)'!D39,'월별증감률(전월비)'!P39,'월별증감률(전월비)'!AB39,'월별증감률(전월비)'!AN39,'월별증감률(전월비)'!AZ39,'월별증감률(전월비)'!BL39)</f>
        <v>0</v>
      </c>
      <c r="F39" s="12" t="n">
        <f aca="false">AVERAGE('월별증감률(전월비)'!E39,'월별증감률(전월비)'!Q39,'월별증감률(전월비)'!AC39,'월별증감률(전월비)'!AO39,'월별증감률(전월비)'!BA39,'월별증감률(전월비)'!BM39)</f>
        <v>0</v>
      </c>
      <c r="G39" s="12" t="n">
        <f aca="false">AVERAGE('월별증감률(전월비)'!F39,'월별증감률(전월비)'!R39,'월별증감률(전월비)'!AD39,'월별증감률(전월비)'!AP39,'월별증감률(전월비)'!BB39,'월별증감률(전월비)'!BN39)</f>
        <v>0</v>
      </c>
      <c r="H39" s="12" t="n">
        <f aca="false">AVERAGE('월별증감률(전월비)'!G39,'월별증감률(전월비)'!S39,'월별증감률(전월비)'!AE39,'월별증감률(전월비)'!AQ39,'월별증감률(전월비)'!BC39)</f>
        <v>0.032908039069532</v>
      </c>
      <c r="I39" s="12" t="n">
        <f aca="false">AVERAGE('월별증감률(전월비)'!H39,'월별증감률(전월비)'!T39,'월별증감률(전월비)'!AF39,'월별증감률(전월비)'!AR39,'월별증감률(전월비)'!BD39)</f>
        <v>-0.00462293106767273</v>
      </c>
      <c r="J39" s="12" t="n">
        <f aca="false">AVERAGE('월별증감률(전월비)'!I39,'월별증감률(전월비)'!U39,'월별증감률(전월비)'!AG39,'월별증감률(전월비)'!AS39,'월별증감률(전월비)'!BE39)</f>
        <v>0</v>
      </c>
      <c r="K39" s="12" t="n">
        <f aca="false">AVERAGE('월별증감률(전월비)'!J39,'월별증감률(전월비)'!V39,'월별증감률(전월비)'!AH39,'월별증감률(전월비)'!AT39,'월별증감률(전월비)'!BF39)</f>
        <v>0</v>
      </c>
      <c r="L39" s="12" t="n">
        <f aca="false">AVERAGE('월별증감률(전월비)'!K39,'월별증감률(전월비)'!W39,'월별증감률(전월비)'!AI39,'월별증감률(전월비)'!AU39,'월별증감률(전월비)'!BG39)</f>
        <v>0</v>
      </c>
      <c r="M39" s="12" t="n">
        <f aca="false">AVERAGE('월별증감률(전월비)'!L39,'월별증감률(전월비)'!X39,'월별증감률(전월비)'!AJ39,'월별증감률(전월비)'!AV39,'월별증감률(전월비)'!BH39)</f>
        <v>0</v>
      </c>
      <c r="N39" s="12" t="n">
        <f aca="false">AVERAGE('월별증감률(전월비)'!M39,'월별증감률(전월비)'!Y39,'월별증감률(전월비)'!AK39,'월별증감률(전월비)'!AW39,'월별증감률(전월비)'!BI39)</f>
        <v>0</v>
      </c>
      <c r="O39" s="15" t="str">
        <f aca="false">INDEX($C$1:$N$1,MATCH(MAX(C39:N39),C39:N39,0))</f>
        <v>6월</v>
      </c>
      <c r="P39" s="16" t="n">
        <f aca="false">MAX(C39:N39)</f>
        <v>0.032908039069532</v>
      </c>
      <c r="Q39" s="17" t="str">
        <f aca="false">INDEX($C$1:$N$1,MATCH(MIN(C39:N39),C39:N39,0))</f>
        <v>7월</v>
      </c>
      <c r="R39" s="18" t="n">
        <f aca="false">MIN(C39:N39)</f>
        <v>-0.00462293106767273</v>
      </c>
    </row>
    <row r="40" customFormat="false" ht="15" hidden="false" customHeight="false" outlineLevel="0" collapsed="false">
      <c r="A40" s="8" t="s">
        <v>131</v>
      </c>
      <c r="B40" s="9" t="s">
        <v>132</v>
      </c>
      <c r="C40" s="12" t="n">
        <f aca="false">AVERAGE('월별증감률(전월비)'!N40,'월별증감률(전월비)'!Z40,'월별증감률(전월비)'!AL40,'월별증감률(전월비)'!AX40,'월별증감률(전월비)'!BJ40)</f>
        <v>-0.00351444891411878</v>
      </c>
      <c r="D40" s="12" t="n">
        <f aca="false">AVERAGE('월별증감률(전월비)'!C40,'월별증감률(전월비)'!O40,'월별증감률(전월비)'!AA40,'월별증감률(전월비)'!AM40,'월별증감률(전월비)'!AY40,'월별증감률(전월비)'!BK40)</f>
        <v>0</v>
      </c>
      <c r="E40" s="12" t="n">
        <f aca="false">AVERAGE('월별증감률(전월비)'!D40,'월별증감률(전월비)'!P40,'월별증감률(전월비)'!AB40,'월별증감률(전월비)'!AN40,'월별증감률(전월비)'!AZ40,'월별증감률(전월비)'!BL40)</f>
        <v>0.0107437477583227</v>
      </c>
      <c r="F40" s="12" t="n">
        <f aca="false">AVERAGE('월별증감률(전월비)'!E40,'월별증감률(전월비)'!Q40,'월별증감률(전월비)'!AC40,'월별증감률(전월비)'!AO40,'월별증감률(전월비)'!BA40,'월별증감률(전월비)'!BM40)</f>
        <v>0.000106944307253831</v>
      </c>
      <c r="G40" s="12" t="n">
        <f aca="false">AVERAGE('월별증감률(전월비)'!F40,'월별증감률(전월비)'!R40,'월별증감률(전월비)'!AD40,'월별증감률(전월비)'!AP40,'월별증감률(전월비)'!BB40,'월별증감률(전월비)'!BN40)</f>
        <v>0.000611558454795621</v>
      </c>
      <c r="H40" s="12" t="n">
        <f aca="false">AVERAGE('월별증감률(전월비)'!G40,'월별증감률(전월비)'!S40,'월별증감률(전월비)'!AE40,'월별증감률(전월비)'!AQ40,'월별증감률(전월비)'!BC40)</f>
        <v>0.00387796360963062</v>
      </c>
      <c r="I40" s="12" t="n">
        <f aca="false">AVERAGE('월별증감률(전월비)'!H40,'월별증감률(전월비)'!T40,'월별증감률(전월비)'!AF40,'월별증감률(전월비)'!AR40,'월별증감률(전월비)'!BD40)</f>
        <v>-0.000838405147602606</v>
      </c>
      <c r="J40" s="12" t="n">
        <f aca="false">AVERAGE('월별증감률(전월비)'!I40,'월별증감률(전월비)'!U40,'월별증감률(전월비)'!AG40,'월별증감률(전월비)'!AS40,'월별증감률(전월비)'!BE40)</f>
        <v>0</v>
      </c>
      <c r="K40" s="12" t="n">
        <f aca="false">AVERAGE('월별증감률(전월비)'!J40,'월별증감률(전월비)'!V40,'월별증감률(전월비)'!AH40,'월별증감률(전월비)'!AT40,'월별증감률(전월비)'!BF40)</f>
        <v>0</v>
      </c>
      <c r="L40" s="12" t="n">
        <f aca="false">AVERAGE('월별증감률(전월비)'!K40,'월별증감률(전월비)'!W40,'월별증감률(전월비)'!AI40,'월별증감률(전월비)'!AU40,'월별증감률(전월비)'!BG40)</f>
        <v>-0.0073948537771017</v>
      </c>
      <c r="M40" s="12" t="n">
        <f aca="false">AVERAGE('월별증감률(전월비)'!L40,'월별증감률(전월비)'!X40,'월별증감률(전월비)'!AJ40,'월별증감률(전월비)'!AV40,'월별증감률(전월비)'!BH40)</f>
        <v>0.00417415618134611</v>
      </c>
      <c r="N40" s="12" t="n">
        <f aca="false">AVERAGE('월별증감률(전월비)'!M40,'월별증감률(전월비)'!Y40,'월별증감률(전월비)'!AK40,'월별증감률(전월비)'!AW40,'월별증감률(전월비)'!BI40)</f>
        <v>0</v>
      </c>
      <c r="O40" s="15" t="str">
        <f aca="false">INDEX($C$1:$N$1,MATCH(MAX(C40:N40),C40:N40,0))</f>
        <v>3월</v>
      </c>
      <c r="P40" s="16" t="n">
        <f aca="false">MAX(C40:N40)</f>
        <v>0.0107437477583227</v>
      </c>
      <c r="Q40" s="17" t="str">
        <f aca="false">INDEX($C$1:$N$1,MATCH(MIN(C40:N40),C40:N40,0))</f>
        <v>10월</v>
      </c>
      <c r="R40" s="18" t="n">
        <f aca="false">MIN(C40:N40)</f>
        <v>-0.0073948537771017</v>
      </c>
    </row>
    <row r="41" customFormat="false" ht="15" hidden="false" customHeight="false" outlineLevel="0" collapsed="false">
      <c r="A41" s="8" t="s">
        <v>131</v>
      </c>
      <c r="B41" s="9" t="s">
        <v>133</v>
      </c>
      <c r="C41" s="12" t="n">
        <f aca="false">AVERAGE('월별증감률(전월비)'!N41,'월별증감률(전월비)'!Z41,'월별증감률(전월비)'!AL41,'월별증감률(전월비)'!AX41,'월별증감률(전월비)'!BJ41)</f>
        <v>0.2793163941741</v>
      </c>
      <c r="D41" s="12" t="n">
        <f aca="false">AVERAGE('월별증감률(전월비)'!C41,'월별증감률(전월비)'!O41,'월별증감률(전월비)'!AA41,'월별증감률(전월비)'!AM41,'월별증감률(전월비)'!AY41,'월별증감률(전월비)'!BK41)</f>
        <v>-0.0393769911452846</v>
      </c>
      <c r="E41" s="12" t="n">
        <f aca="false">AVERAGE('월별증감률(전월비)'!D41,'월별증감률(전월비)'!P41,'월별증감률(전월비)'!AB41,'월별증감률(전월비)'!AN41,'월별증감률(전월비)'!AZ41,'월별증감률(전월비)'!BL41)</f>
        <v>-0.109736397011147</v>
      </c>
      <c r="F41" s="12" t="n">
        <f aca="false">AVERAGE('월별증감률(전월비)'!E41,'월별증감률(전월비)'!Q41,'월별증감률(전월비)'!AC41,'월별증감률(전월비)'!AO41,'월별증감률(전월비)'!BA41,'월별증감률(전월비)'!BM41)</f>
        <v>-0.124024513194344</v>
      </c>
      <c r="G41" s="12" t="n">
        <f aca="false">AVERAGE('월별증감률(전월비)'!F41,'월별증감률(전월비)'!R41,'월별증감률(전월비)'!AD41,'월별증감률(전월비)'!AP41,'월별증감률(전월비)'!BB41,'월별증감률(전월비)'!BN41)</f>
        <v>0.0719668247120488</v>
      </c>
      <c r="H41" s="12" t="n">
        <f aca="false">AVERAGE('월별증감률(전월비)'!G41,'월별증감률(전월비)'!S41,'월별증감률(전월비)'!AE41,'월별증감률(전월비)'!AQ41,'월별증감률(전월비)'!BC41)</f>
        <v>-0.107231636272709</v>
      </c>
      <c r="I41" s="12" t="n">
        <f aca="false">AVERAGE('월별증감률(전월비)'!H41,'월별증감률(전월비)'!T41,'월별증감률(전월비)'!AF41,'월별증감률(전월비)'!AR41,'월별증감률(전월비)'!BD41)</f>
        <v>0.569860914699979</v>
      </c>
      <c r="J41" s="12" t="n">
        <f aca="false">AVERAGE('월별증감률(전월비)'!I41,'월별증감률(전월비)'!U41,'월별증감률(전월비)'!AG41,'월별증감률(전월비)'!AS41,'월별증감률(전월비)'!BE41)</f>
        <v>0.514158644093676</v>
      </c>
      <c r="K41" s="12" t="n">
        <f aca="false">AVERAGE('월별증감률(전월비)'!J41,'월별증감률(전월비)'!V41,'월별증감률(전월비)'!AH41,'월별증감률(전월비)'!AT41,'월별증감률(전월비)'!BF41)</f>
        <v>0.0850357519470128</v>
      </c>
      <c r="L41" s="12" t="n">
        <f aca="false">AVERAGE('월별증감률(전월비)'!K41,'월별증감률(전월비)'!W41,'월별증감률(전월비)'!AI41,'월별증감률(전월비)'!AU41,'월별증감률(전월비)'!BG41)</f>
        <v>-0.478344643790357</v>
      </c>
      <c r="M41" s="12" t="n">
        <f aca="false">AVERAGE('월별증감률(전월비)'!L41,'월별증감률(전월비)'!X41,'월별증감률(전월비)'!AJ41,'월별증감률(전월비)'!AV41,'월별증감률(전월비)'!BH41)</f>
        <v>-0.286053703139393</v>
      </c>
      <c r="N41" s="12" t="n">
        <f aca="false">AVERAGE('월별증감률(전월비)'!M41,'월별증감률(전월비)'!Y41,'월별증감률(전월비)'!AK41,'월별증감률(전월비)'!AW41,'월별증감률(전월비)'!BI41)</f>
        <v>0.394410459548037</v>
      </c>
      <c r="O41" s="15" t="str">
        <f aca="false">INDEX($C$1:$N$1,MATCH(MAX(C41:N41),C41:N41,0))</f>
        <v>7월</v>
      </c>
      <c r="P41" s="16" t="n">
        <f aca="false">MAX(C41:N41)</f>
        <v>0.569860914699979</v>
      </c>
      <c r="Q41" s="17" t="str">
        <f aca="false">INDEX($C$1:$N$1,MATCH(MIN(C41:N41),C41:N41,0))</f>
        <v>10월</v>
      </c>
      <c r="R41" s="18" t="n">
        <f aca="false">MIN(C41:N41)</f>
        <v>-0.478344643790357</v>
      </c>
    </row>
    <row r="42" customFormat="false" ht="15" hidden="false" customHeight="false" outlineLevel="0" collapsed="false">
      <c r="A42" s="8" t="s">
        <v>131</v>
      </c>
      <c r="B42" s="9" t="s">
        <v>134</v>
      </c>
      <c r="C42" s="12" t="n">
        <f aca="false">AVERAGE('월별증감률(전월비)'!N42,'월별증감률(전월비)'!Z42,'월별증감률(전월비)'!AL42,'월별증감률(전월비)'!AX42,'월별증감률(전월비)'!BJ42)</f>
        <v>0.0715323533637299</v>
      </c>
      <c r="D42" s="12" t="n">
        <f aca="false">AVERAGE('월별증감률(전월비)'!C42,'월별증감률(전월비)'!O42,'월별증감률(전월비)'!AA42,'월별증감률(전월비)'!AM42,'월별증감률(전월비)'!AY42,'월별증감률(전월비)'!BK42)</f>
        <v>-0.0175763782199708</v>
      </c>
      <c r="E42" s="12" t="n">
        <f aca="false">AVERAGE('월별증감률(전월비)'!D42,'월별증감률(전월비)'!P42,'월별증감률(전월비)'!AB42,'월별증감률(전월비)'!AN42,'월별증감률(전월비)'!AZ42,'월별증감률(전월비)'!BL42)</f>
        <v>0.0261662858411094</v>
      </c>
      <c r="F42" s="12" t="n">
        <f aca="false">AVERAGE('월별증감률(전월비)'!E42,'월별증감률(전월비)'!Q42,'월별증감률(전월비)'!AC42,'월별증감률(전월비)'!AO42,'월별증감률(전월비)'!BA42,'월별증감률(전월비)'!BM42)</f>
        <v>0.036821790536506</v>
      </c>
      <c r="G42" s="12" t="n">
        <f aca="false">AVERAGE('월별증감률(전월비)'!F42,'월별증감률(전월비)'!R42,'월별증감률(전월비)'!AD42,'월별증감률(전월비)'!AP42,'월별증감률(전월비)'!BB42,'월별증감률(전월비)'!BN42)</f>
        <v>-0.0311370677617907</v>
      </c>
      <c r="H42" s="12" t="n">
        <f aca="false">AVERAGE('월별증감률(전월비)'!G42,'월별증감률(전월비)'!S42,'월별증감률(전월비)'!AE42,'월별증감률(전월비)'!AQ42,'월별증감률(전월비)'!BC42)</f>
        <v>0.0334496735302972</v>
      </c>
      <c r="I42" s="12" t="n">
        <f aca="false">AVERAGE('월별증감률(전월비)'!H42,'월별증감률(전월비)'!T42,'월별증감률(전월비)'!AF42,'월별증감률(전월비)'!AR42,'월별증감률(전월비)'!BD42)</f>
        <v>0</v>
      </c>
      <c r="J42" s="12" t="n">
        <f aca="false">AVERAGE('월별증감률(전월비)'!I42,'월별증감률(전월비)'!U42,'월별증감률(전월비)'!AG42,'월별증감률(전월비)'!AS42,'월별증감률(전월비)'!BE42)</f>
        <v>0</v>
      </c>
      <c r="K42" s="12" t="n">
        <f aca="false">AVERAGE('월별증감률(전월비)'!J42,'월별증감률(전월비)'!V42,'월별증감률(전월비)'!AH42,'월별증감률(전월비)'!AT42,'월별증감률(전월비)'!BF42)</f>
        <v>-0.10705511716019</v>
      </c>
      <c r="L42" s="12" t="n">
        <f aca="false">AVERAGE('월별증감률(전월비)'!K42,'월별증감률(전월비)'!W42,'월별증감률(전월비)'!AI42,'월별증감률(전월비)'!AU42,'월별증감률(전월비)'!BG42)</f>
        <v>-0.0289429963995461</v>
      </c>
      <c r="M42" s="12" t="n">
        <f aca="false">AVERAGE('월별증감률(전월비)'!L42,'월별증감률(전월비)'!X42,'월별증감률(전월비)'!AJ42,'월별증감률(전월비)'!AV42,'월별증감률(전월비)'!BH42)</f>
        <v>0.0393600739671854</v>
      </c>
      <c r="N42" s="12" t="n">
        <f aca="false">AVERAGE('월별증감률(전월비)'!M42,'월별증감률(전월비)'!Y42,'월별증감률(전월비)'!AK42,'월별증감률(전월비)'!AW42,'월별증감률(전월비)'!BI42)</f>
        <v>0.00275312482731354</v>
      </c>
      <c r="O42" s="15" t="str">
        <f aca="false">INDEX($C$1:$N$1,MATCH(MAX(C42:N42),C42:N42,0))</f>
        <v>1월</v>
      </c>
      <c r="P42" s="16" t="n">
        <f aca="false">MAX(C42:N42)</f>
        <v>0.0715323533637299</v>
      </c>
      <c r="Q42" s="17" t="str">
        <f aca="false">INDEX($C$1:$N$1,MATCH(MIN(C42:N42),C42:N42,0))</f>
        <v>9월</v>
      </c>
      <c r="R42" s="18" t="n">
        <f aca="false">MIN(C42:N42)</f>
        <v>-0.10705511716019</v>
      </c>
    </row>
    <row r="43" customFormat="false" ht="15" hidden="false" customHeight="false" outlineLevel="0" collapsed="false">
      <c r="A43" s="8" t="s">
        <v>135</v>
      </c>
      <c r="B43" s="9" t="s">
        <v>136</v>
      </c>
      <c r="C43" s="12" t="n">
        <f aca="false">AVERAGE('월별증감률(전월비)'!N43,'월별증감률(전월비)'!Z43,'월별증감률(전월비)'!AL43,'월별증감률(전월비)'!AX43,'월별증감률(전월비)'!BJ43)</f>
        <v>0.178628375727064</v>
      </c>
      <c r="D43" s="12" t="n">
        <f aca="false">AVERAGE('월별증감률(전월비)'!C43,'월별증감률(전월비)'!O43,'월별증감률(전월비)'!AA43,'월별증감률(전월비)'!AM43,'월별증감률(전월비)'!AY43,'월별증감률(전월비)'!BK43)</f>
        <v>-0.0822622589005484</v>
      </c>
      <c r="E43" s="12" t="n">
        <f aca="false">AVERAGE('월별증감률(전월비)'!D43,'월별증감률(전월비)'!P43,'월별증감률(전월비)'!AB43,'월별증감률(전월비)'!AN43,'월별증감률(전월비)'!AZ43,'월별증감률(전월비)'!BL43)</f>
        <v>-0.0724190114740312</v>
      </c>
      <c r="F43" s="12" t="n">
        <f aca="false">AVERAGE('월별증감률(전월비)'!E43,'월별증감률(전월비)'!Q43,'월별증감률(전월비)'!AC43,'월별증감률(전월비)'!AO43,'월별증감률(전월비)'!BA43,'월별증감률(전월비)'!BM43)</f>
        <v>0.0193195172456199</v>
      </c>
      <c r="G43" s="12" t="n">
        <f aca="false">AVERAGE('월별증감률(전월비)'!F43,'월별증감률(전월비)'!R43,'월별증감률(전월비)'!AD43,'월별증감률(전월비)'!AP43,'월별증감률(전월비)'!BB43,'월별증감률(전월비)'!BN43)</f>
        <v>-0.172263274336983</v>
      </c>
      <c r="H43" s="12" t="n">
        <f aca="false">AVERAGE('월별증감률(전월비)'!G43,'월별증감률(전월비)'!S43,'월별증감률(전월비)'!AE43,'월별증감률(전월비)'!AQ43,'월별증감률(전월비)'!BC43)</f>
        <v>0.0834304209434557</v>
      </c>
      <c r="I43" s="12" t="n">
        <f aca="false">AVERAGE('월별증감률(전월비)'!H43,'월별증감률(전월비)'!T43,'월별증감률(전월비)'!AF43,'월별증감률(전월비)'!AR43,'월별증감률(전월비)'!BD43)</f>
        <v>0.273116128804816</v>
      </c>
      <c r="J43" s="12" t="n">
        <f aca="false">AVERAGE('월별증감률(전월비)'!I43,'월별증감률(전월비)'!U43,'월별증감률(전월비)'!AG43,'월별증감률(전월비)'!AS43,'월별증감률(전월비)'!BE43)</f>
        <v>0.074294199102656</v>
      </c>
      <c r="K43" s="12" t="n">
        <f aca="false">AVERAGE('월별증감률(전월비)'!J43,'월별증감률(전월비)'!V43,'월별증감률(전월비)'!AH43,'월별증감률(전월비)'!AT43,'월별증감률(전월비)'!BF43)</f>
        <v>0.00819970928498652</v>
      </c>
      <c r="L43" s="12" t="n">
        <f aca="false">AVERAGE('월별증감률(전월비)'!K43,'월별증감률(전월비)'!W43,'월별증감률(전월비)'!AI43,'월별증감률(전월비)'!AU43,'월별증감률(전월비)'!BG43)</f>
        <v>0.037135093429399</v>
      </c>
      <c r="M43" s="12" t="n">
        <f aca="false">AVERAGE('월별증감률(전월비)'!L43,'월별증감률(전월비)'!X43,'월별증감률(전월비)'!AJ43,'월별증감률(전월비)'!AV43,'월별증감률(전월비)'!BH43)</f>
        <v>-0.0513787609351781</v>
      </c>
      <c r="N43" s="12" t="n">
        <f aca="false">AVERAGE('월별증감률(전월비)'!M43,'월별증감률(전월비)'!Y43,'월별증감률(전월비)'!AK43,'월별증감률(전월비)'!AW43,'월별증감률(전월비)'!BI43)</f>
        <v>0.069398353980525</v>
      </c>
      <c r="O43" s="15" t="str">
        <f aca="false">INDEX($C$1:$N$1,MATCH(MAX(C43:N43),C43:N43,0))</f>
        <v>7월</v>
      </c>
      <c r="P43" s="16" t="n">
        <f aca="false">MAX(C43:N43)</f>
        <v>0.273116128804816</v>
      </c>
      <c r="Q43" s="17" t="str">
        <f aca="false">INDEX($C$1:$N$1,MATCH(MIN(C43:N43),C43:N43,0))</f>
        <v>5월</v>
      </c>
      <c r="R43" s="18" t="n">
        <f aca="false">MIN(C43:N43)</f>
        <v>-0.172263274336983</v>
      </c>
    </row>
    <row r="44" customFormat="false" ht="15" hidden="false" customHeight="false" outlineLevel="0" collapsed="false">
      <c r="A44" s="8" t="s">
        <v>135</v>
      </c>
      <c r="B44" s="9" t="s">
        <v>137</v>
      </c>
      <c r="C44" s="12" t="n">
        <f aca="false">AVERAGE('월별증감률(전월비)'!N44,'월별증감률(전월비)'!Z44,'월별증감률(전월비)'!AL44,'월별증감률(전월비)'!AX44,'월별증감률(전월비)'!BJ44)</f>
        <v>-0.0359745588111583</v>
      </c>
      <c r="D44" s="12" t="n">
        <f aca="false">AVERAGE('월별증감률(전월비)'!C44,'월별증감률(전월비)'!O44,'월별증감률(전월비)'!AA44,'월별증감률(전월비)'!AM44,'월별증감률(전월비)'!AY44,'월별증감률(전월비)'!BK44)</f>
        <v>-0.0309889040509655</v>
      </c>
      <c r="E44" s="12" t="n">
        <f aca="false">AVERAGE('월별증감률(전월비)'!D44,'월별증감률(전월비)'!P44,'월별증감률(전월비)'!AB44,'월별증감률(전월비)'!AN44,'월별증감률(전월비)'!AZ44,'월별증감률(전월비)'!BL44)</f>
        <v>-0.011860520306907</v>
      </c>
      <c r="F44" s="12" t="n">
        <f aca="false">AVERAGE('월별증감률(전월비)'!E44,'월별증감률(전월비)'!Q44,'월별증감률(전월비)'!AC44,'월별증감률(전월비)'!AO44,'월별증감률(전월비)'!BA44,'월별증감률(전월비)'!BM44)</f>
        <v>-0.00621824432496474</v>
      </c>
      <c r="G44" s="12" t="n">
        <f aca="false">AVERAGE('월별증감률(전월비)'!F44,'월별증감률(전월비)'!R44,'월별증감률(전월비)'!AD44,'월별증감률(전월비)'!AP44,'월별증감률(전월비)'!BB44,'월별증감률(전월비)'!BN44)</f>
        <v>-0.00629046008773909</v>
      </c>
      <c r="H44" s="12" t="n">
        <f aca="false">AVERAGE('월별증감률(전월비)'!G44,'월별증감률(전월비)'!S44,'월별증감률(전월비)'!AE44,'월별증감률(전월비)'!AQ44,'월별증감률(전월비)'!BC44)</f>
        <v>0.0775793963802482</v>
      </c>
      <c r="I44" s="12" t="n">
        <f aca="false">AVERAGE('월별증감률(전월비)'!H44,'월별증감률(전월비)'!T44,'월별증감률(전월비)'!AF44,'월별증감률(전월비)'!AR44,'월별증감률(전월비)'!BD44)</f>
        <v>0.0194614886826195</v>
      </c>
      <c r="J44" s="12" t="n">
        <f aca="false">AVERAGE('월별증감률(전월비)'!I44,'월별증감률(전월비)'!U44,'월별증감률(전월비)'!AG44,'월별증감률(전월비)'!AS44,'월별증감률(전월비)'!BE44)</f>
        <v>0.00698586452256882</v>
      </c>
      <c r="K44" s="12" t="n">
        <f aca="false">AVERAGE('월별증감률(전월비)'!J44,'월별증감률(전월비)'!V44,'월별증감률(전월비)'!AH44,'월별증감률(전월비)'!AT44,'월별증감률(전월비)'!BF44)</f>
        <v>0.0293213800194981</v>
      </c>
      <c r="L44" s="12" t="n">
        <f aca="false">AVERAGE('월별증감률(전월비)'!K44,'월별증감률(전월비)'!W44,'월별증감률(전월비)'!AI44,'월별증감률(전월비)'!AU44,'월별증감률(전월비)'!BG44)</f>
        <v>0.0307043186223151</v>
      </c>
      <c r="M44" s="12" t="n">
        <f aca="false">AVERAGE('월별증감률(전월비)'!L44,'월별증감률(전월비)'!X44,'월별증감률(전월비)'!AJ44,'월별증감률(전월비)'!AV44,'월별증감률(전월비)'!BH44)</f>
        <v>0.0101587331264638</v>
      </c>
      <c r="N44" s="12" t="n">
        <f aca="false">AVERAGE('월별증감률(전월비)'!M44,'월별증감률(전월비)'!Y44,'월별증감률(전월비)'!AK44,'월별증감률(전월비)'!AW44,'월별증감률(전월비)'!BI44)</f>
        <v>-0.0109026107219446</v>
      </c>
      <c r="O44" s="15" t="str">
        <f aca="false">INDEX($C$1:$N$1,MATCH(MAX(C44:N44),C44:N44,0))</f>
        <v>6월</v>
      </c>
      <c r="P44" s="16" t="n">
        <f aca="false">MAX(C44:N44)</f>
        <v>0.0775793963802482</v>
      </c>
      <c r="Q44" s="17" t="str">
        <f aca="false">INDEX($C$1:$N$1,MATCH(MIN(C44:N44),C44:N44,0))</f>
        <v>1월</v>
      </c>
      <c r="R44" s="18" t="n">
        <f aca="false">MIN(C44:N44)</f>
        <v>-0.0359745588111583</v>
      </c>
    </row>
    <row r="45" customFormat="false" ht="15" hidden="false" customHeight="false" outlineLevel="0" collapsed="false">
      <c r="A45" s="8" t="s">
        <v>135</v>
      </c>
      <c r="B45" s="9" t="s">
        <v>138</v>
      </c>
      <c r="C45" s="12" t="n">
        <f aca="false">AVERAGE('월별증감률(전월비)'!N45,'월별증감률(전월비)'!Z45,'월별증감률(전월비)'!AL45,'월별증감률(전월비)'!AX45,'월별증감률(전월비)'!BJ45)</f>
        <v>0.235687137324728</v>
      </c>
      <c r="D45" s="12" t="n">
        <f aca="false">AVERAGE('월별증감률(전월비)'!C45,'월별증감률(전월비)'!O45,'월별증감률(전월비)'!AA45,'월별증감률(전월비)'!AM45,'월별증감률(전월비)'!AY45,'월별증감률(전월비)'!BK45)</f>
        <v>0.0907700085085167</v>
      </c>
      <c r="E45" s="12" t="n">
        <f aca="false">AVERAGE('월별증감률(전월비)'!D45,'월별증감률(전월비)'!P45,'월별증감률(전월비)'!AB45,'월별증감률(전월비)'!AN45,'월별증감률(전월비)'!AZ45,'월별증감률(전월비)'!BL45)</f>
        <v>0.0805669488423289</v>
      </c>
      <c r="F45" s="12" t="n">
        <f aca="false">AVERAGE('월별증감률(전월비)'!E45,'월별증감률(전월비)'!Q45,'월별증감률(전월비)'!AC45,'월별증감률(전월비)'!AO45,'월별증감률(전월비)'!BA45,'월별증감률(전월비)'!BM45)</f>
        <v>-0.0798707628495805</v>
      </c>
      <c r="G45" s="12" t="n">
        <f aca="false">AVERAGE('월별증감률(전월비)'!F45,'월별증감률(전월비)'!R45,'월별증감률(전월비)'!AD45,'월별증감률(전월비)'!AP45,'월별증감률(전월비)'!BB45,'월별증감률(전월비)'!BN45)</f>
        <v>-0.037851630533207</v>
      </c>
      <c r="H45" s="12" t="n">
        <f aca="false">AVERAGE('월별증감률(전월비)'!G45,'월별증감률(전월비)'!S45,'월별증감률(전월비)'!AE45,'월별증감률(전월비)'!AQ45,'월별증감률(전월비)'!BC45)</f>
        <v>-0.111057135138403</v>
      </c>
      <c r="I45" s="12" t="n">
        <f aca="false">AVERAGE('월별증감률(전월비)'!H45,'월별증감률(전월비)'!T45,'월별증감률(전월비)'!AF45,'월별증감률(전월비)'!AR45,'월별증감률(전월비)'!BD45)</f>
        <v>0.00431160019699965</v>
      </c>
      <c r="J45" s="12" t="n">
        <f aca="false">AVERAGE('월별증감률(전월비)'!I45,'월별증감률(전월비)'!U45,'월별증감률(전월비)'!AG45,'월별증감률(전월비)'!AS45,'월별증감률(전월비)'!BE45)</f>
        <v>0.516970196013653</v>
      </c>
      <c r="K45" s="12" t="n">
        <f aca="false">AVERAGE('월별증감률(전월비)'!J45,'월별증감률(전월비)'!V45,'월별증감률(전월비)'!AH45,'월별증감률(전월비)'!AT45,'월별증감률(전월비)'!BF45)</f>
        <v>0.229784929144484</v>
      </c>
      <c r="L45" s="12" t="n">
        <f aca="false">AVERAGE('월별증감률(전월비)'!K45,'월별증감률(전월비)'!W45,'월별증감률(전월비)'!AI45,'월별증감률(전월비)'!AU45,'월별증감률(전월비)'!BG45)</f>
        <v>-0.120226121134788</v>
      </c>
      <c r="M45" s="12" t="n">
        <f aca="false">AVERAGE('월별증감률(전월비)'!L45,'월별증감률(전월비)'!X45,'월별증감률(전월비)'!AJ45,'월별증감률(전월비)'!AV45,'월별증감률(전월비)'!BH45)</f>
        <v>-0.0867211306319378</v>
      </c>
      <c r="N45" s="12" t="n">
        <f aca="false">AVERAGE('월별증감률(전월비)'!M45,'월별증감률(전월비)'!Y45,'월별증감률(전월비)'!AK45,'월별증감률(전월비)'!AW45,'월별증감률(전월비)'!BI45)</f>
        <v>0.0304572942049692</v>
      </c>
      <c r="O45" s="15" t="str">
        <f aca="false">INDEX($C$1:$N$1,MATCH(MAX(C45:N45),C45:N45,0))</f>
        <v>8월</v>
      </c>
      <c r="P45" s="16" t="n">
        <f aca="false">MAX(C45:N45)</f>
        <v>0.516970196013653</v>
      </c>
      <c r="Q45" s="17" t="str">
        <f aca="false">INDEX($C$1:$N$1,MATCH(MIN(C45:N45),C45:N45,0))</f>
        <v>10월</v>
      </c>
      <c r="R45" s="18" t="n">
        <f aca="false">MIN(C45:N45)</f>
        <v>-0.120226121134788</v>
      </c>
    </row>
    <row r="46" customFormat="false" ht="15" hidden="false" customHeight="false" outlineLevel="0" collapsed="false">
      <c r="A46" s="8" t="s">
        <v>135</v>
      </c>
      <c r="B46" s="9" t="s">
        <v>139</v>
      </c>
      <c r="C46" s="12" t="n">
        <f aca="false">AVERAGE('월별증감률(전월비)'!N46,'월별증감률(전월비)'!Z46,'월별증감률(전월비)'!AL46,'월별증감률(전월비)'!AX46,'월별증감률(전월비)'!BJ46)</f>
        <v>0.0521409299602532</v>
      </c>
      <c r="D46" s="12" t="n">
        <f aca="false">AVERAGE('월별증감률(전월비)'!C46,'월별증감률(전월비)'!O46,'월별증감률(전월비)'!AA46,'월별증감률(전월비)'!AM46,'월별증감률(전월비)'!AY46,'월별증감률(전월비)'!BK46)</f>
        <v>0.021848494418254</v>
      </c>
      <c r="E46" s="12" t="n">
        <f aca="false">AVERAGE('월별증감률(전월비)'!D46,'월별증감률(전월비)'!P46,'월별증감률(전월비)'!AB46,'월별증감률(전월비)'!AN46,'월별증감률(전월비)'!AZ46,'월별증감률(전월비)'!BL46)</f>
        <v>0.0068570455959676</v>
      </c>
      <c r="F46" s="12" t="n">
        <f aca="false">AVERAGE('월별증감률(전월비)'!E46,'월별증감률(전월비)'!Q46,'월별증감률(전월비)'!AC46,'월별증감률(전월비)'!AO46,'월별증감률(전월비)'!BA46,'월별증감률(전월비)'!BM46)</f>
        <v>0.0293606778664815</v>
      </c>
      <c r="G46" s="12" t="n">
        <f aca="false">AVERAGE('월별증감률(전월비)'!F46,'월별증감률(전월비)'!R46,'월별증감률(전월비)'!AD46,'월별증감률(전월비)'!AP46,'월별증감률(전월비)'!BB46,'월별증감률(전월비)'!BN46)</f>
        <v>0.022250823799834</v>
      </c>
      <c r="H46" s="12" t="n">
        <f aca="false">AVERAGE('월별증감률(전월비)'!G46,'월별증감률(전월비)'!S46,'월별증감률(전월비)'!AE46,'월별증감률(전월비)'!AQ46,'월별증감률(전월비)'!BC46)</f>
        <v>0.0295164691878208</v>
      </c>
      <c r="I46" s="12" t="n">
        <f aca="false">AVERAGE('월별증감률(전월비)'!H46,'월별증감률(전월비)'!T46,'월별증감률(전월비)'!AF46,'월별증감률(전월비)'!AR46,'월별증감률(전월비)'!BD46)</f>
        <v>-0.021061311589125</v>
      </c>
      <c r="J46" s="12" t="n">
        <f aca="false">AVERAGE('월별증감률(전월비)'!I46,'월별증감률(전월비)'!U46,'월별증감률(전월비)'!AG46,'월별증감률(전월비)'!AS46,'월별증감률(전월비)'!BE46)</f>
        <v>-0.015164072844057</v>
      </c>
      <c r="K46" s="12" t="n">
        <f aca="false">AVERAGE('월별증감률(전월비)'!J46,'월별증감률(전월비)'!V46,'월별증감률(전월비)'!AH46,'월별증감률(전월비)'!AT46,'월별증감률(전월비)'!BF46)</f>
        <v>0.0223182616403953</v>
      </c>
      <c r="L46" s="12" t="n">
        <f aca="false">AVERAGE('월별증감률(전월비)'!K46,'월별증감률(전월비)'!W46,'월별증감률(전월비)'!AI46,'월별증감률(전월비)'!AU46,'월별증감률(전월비)'!BG46)</f>
        <v>-0.0373229857804237</v>
      </c>
      <c r="M46" s="12" t="n">
        <f aca="false">AVERAGE('월별증감률(전월비)'!L46,'월별증감률(전월비)'!X46,'월별증감률(전월비)'!AJ46,'월별증감률(전월비)'!AV46,'월별증감률(전월비)'!BH46)</f>
        <v>-0.0452435690102543</v>
      </c>
      <c r="N46" s="12" t="n">
        <f aca="false">AVERAGE('월별증감률(전월비)'!M46,'월별증감률(전월비)'!Y46,'월별증감률(전월비)'!AK46,'월별증감률(전월비)'!AW46,'월별증감률(전월비)'!BI46)</f>
        <v>0.0243031029771155</v>
      </c>
      <c r="O46" s="15" t="str">
        <f aca="false">INDEX($C$1:$N$1,MATCH(MAX(C46:N46),C46:N46,0))</f>
        <v>1월</v>
      </c>
      <c r="P46" s="16" t="n">
        <f aca="false">MAX(C46:N46)</f>
        <v>0.0521409299602532</v>
      </c>
      <c r="Q46" s="17" t="str">
        <f aca="false">INDEX($C$1:$N$1,MATCH(MIN(C46:N46),C46:N46,0))</f>
        <v>11월</v>
      </c>
      <c r="R46" s="18" t="n">
        <f aca="false">MIN(C46:N46)</f>
        <v>-0.0452435690102543</v>
      </c>
    </row>
    <row r="47" customFormat="false" ht="15" hidden="false" customHeight="false" outlineLevel="0" collapsed="false">
      <c r="A47" s="8" t="s">
        <v>135</v>
      </c>
      <c r="B47" s="9" t="s">
        <v>140</v>
      </c>
      <c r="C47" s="12" t="n">
        <f aca="false">AVERAGE('월별증감률(전월비)'!N47,'월별증감률(전월비)'!Z47,'월별증감률(전월비)'!AL47,'월별증감률(전월비)'!AX47,'월별증감률(전월비)'!BJ47)</f>
        <v>0.0272672595611896</v>
      </c>
      <c r="D47" s="12" t="n">
        <f aca="false">AVERAGE('월별증감률(전월비)'!C47,'월별증감률(전월비)'!O47,'월별증감률(전월비)'!AA47,'월별증감률(전월비)'!AM47,'월별증감률(전월비)'!AY47,'월별증감률(전월비)'!BK47)</f>
        <v>0.0368963649020404</v>
      </c>
      <c r="E47" s="12" t="n">
        <f aca="false">AVERAGE('월별증감률(전월비)'!D47,'월별증감률(전월비)'!P47,'월별증감률(전월비)'!AB47,'월별증감률(전월비)'!AN47,'월별증감률(전월비)'!AZ47,'월별증감률(전월비)'!BL47)</f>
        <v>-0.0463128788577748</v>
      </c>
      <c r="F47" s="12" t="n">
        <f aca="false">AVERAGE('월별증감률(전월비)'!E47,'월별증감률(전월비)'!Q47,'월별증감률(전월비)'!AC47,'월별증감률(전월비)'!AO47,'월별증감률(전월비)'!BA47,'월별증감률(전월비)'!BM47)</f>
        <v>-0.0747237342143509</v>
      </c>
      <c r="G47" s="12" t="n">
        <f aca="false">AVERAGE('월별증감률(전월비)'!F47,'월별증감률(전월비)'!R47,'월별증감률(전월비)'!AD47,'월별증감률(전월비)'!AP47,'월별증감률(전월비)'!BB47,'월별증감률(전월비)'!BN47)</f>
        <v>0.0952969635067581</v>
      </c>
      <c r="H47" s="12" t="n">
        <f aca="false">AVERAGE('월별증감률(전월비)'!G47,'월별증감률(전월비)'!S47,'월별증감률(전월비)'!AE47,'월별증감률(전월비)'!AQ47,'월별증감률(전월비)'!BC47)</f>
        <v>-0.162656903826987</v>
      </c>
      <c r="I47" s="12" t="n">
        <f aca="false">AVERAGE('월별증감률(전월비)'!H47,'월별증감률(전월비)'!T47,'월별증감률(전월비)'!AF47,'월별증감률(전월비)'!AR47,'월별증감률(전월비)'!BD47)</f>
        <v>0.0397524588944562</v>
      </c>
      <c r="J47" s="12" t="n">
        <f aca="false">AVERAGE('월별증감률(전월비)'!I47,'월별증감률(전월비)'!U47,'월별증감률(전월비)'!AG47,'월별증감률(전월비)'!AS47,'월별증감률(전월비)'!BE47)</f>
        <v>0.0279713178248773</v>
      </c>
      <c r="K47" s="12" t="n">
        <f aca="false">AVERAGE('월별증감률(전월비)'!J47,'월별증감률(전월비)'!V47,'월별증감률(전월비)'!AH47,'월별증감률(전월비)'!AT47,'월별증감률(전월비)'!BF47)</f>
        <v>0.0349824156572486</v>
      </c>
      <c r="L47" s="12" t="n">
        <f aca="false">AVERAGE('월별증감률(전월비)'!K47,'월별증감률(전월비)'!W47,'월별증감률(전월비)'!AI47,'월별증감률(전월비)'!AU47,'월별증감률(전월비)'!BG47)</f>
        <v>0.0185243440951982</v>
      </c>
      <c r="M47" s="12" t="n">
        <f aca="false">AVERAGE('월별증감률(전월비)'!L47,'월별증감률(전월비)'!X47,'월별증감률(전월비)'!AJ47,'월별증감률(전월비)'!AV47,'월별증감률(전월비)'!BH47)</f>
        <v>0.113280004729268</v>
      </c>
      <c r="N47" s="12" t="n">
        <f aca="false">AVERAGE('월별증감률(전월비)'!M47,'월별증감률(전월비)'!Y47,'월별증감률(전월비)'!AK47,'월별증감률(전월비)'!AW47,'월별증감률(전월비)'!BI47)</f>
        <v>0.0275887233638739</v>
      </c>
      <c r="O47" s="15" t="str">
        <f aca="false">INDEX($C$1:$N$1,MATCH(MAX(C47:N47),C47:N47,0))</f>
        <v>11월</v>
      </c>
      <c r="P47" s="16" t="n">
        <f aca="false">MAX(C47:N47)</f>
        <v>0.113280004729268</v>
      </c>
      <c r="Q47" s="17" t="str">
        <f aca="false">INDEX($C$1:$N$1,MATCH(MIN(C47:N47),C47:N47,0))</f>
        <v>6월</v>
      </c>
      <c r="R47" s="18" t="n">
        <f aca="false">MIN(C47:N47)</f>
        <v>-0.162656903826987</v>
      </c>
    </row>
    <row r="48" customFormat="false" ht="15" hidden="false" customHeight="false" outlineLevel="0" collapsed="false">
      <c r="A48" s="8" t="s">
        <v>135</v>
      </c>
      <c r="B48" s="9" t="s">
        <v>141</v>
      </c>
      <c r="C48" s="12" t="n">
        <f aca="false">AVERAGE('월별증감률(전월비)'!N48,'월별증감률(전월비)'!Z48,'월별증감률(전월비)'!AL48,'월별증감률(전월비)'!AX48,'월별증감률(전월비)'!BJ48)</f>
        <v>0.0235942635577764</v>
      </c>
      <c r="D48" s="12" t="n">
        <f aca="false">AVERAGE('월별증감률(전월비)'!C48,'월별증감률(전월비)'!O48,'월별증감률(전월비)'!AA48,'월별증감률(전월비)'!AM48,'월별증감률(전월비)'!AY48,'월별증감률(전월비)'!BK48)</f>
        <v>0.0478046262925655</v>
      </c>
      <c r="E48" s="12" t="n">
        <f aca="false">AVERAGE('월별증감률(전월비)'!D48,'월별증감률(전월비)'!P48,'월별증감률(전월비)'!AB48,'월별증감률(전월비)'!AN48,'월별증감률(전월비)'!AZ48,'월별증감률(전월비)'!BL48)</f>
        <v>-0.0735507811073358</v>
      </c>
      <c r="F48" s="12" t="n">
        <f aca="false">AVERAGE('월별증감률(전월비)'!E48,'월별증감률(전월비)'!Q48,'월별증감률(전월비)'!AC48,'월별증감률(전월비)'!AO48,'월별증감률(전월비)'!BA48,'월별증감률(전월비)'!BM48)</f>
        <v>0.00275280879007495</v>
      </c>
      <c r="G48" s="12" t="n">
        <f aca="false">AVERAGE('월별증감률(전월비)'!F48,'월별증감률(전월비)'!R48,'월별증감률(전월비)'!AD48,'월별증감률(전월비)'!AP48,'월별증감률(전월비)'!BB48,'월별증감률(전월비)'!BN48)</f>
        <v>-0.00115005530997843</v>
      </c>
      <c r="H48" s="12" t="n">
        <f aca="false">AVERAGE('월별증감률(전월비)'!G48,'월별증감률(전월비)'!S48,'월별증감률(전월비)'!AE48,'월별증감률(전월비)'!AQ48,'월별증감률(전월비)'!BC48)</f>
        <v>0.0812638163823549</v>
      </c>
      <c r="I48" s="12" t="n">
        <f aca="false">AVERAGE('월별증감률(전월비)'!H48,'월별증감률(전월비)'!T48,'월별증감률(전월비)'!AF48,'월별증감률(전월비)'!AR48,'월별증감률(전월비)'!BD48)</f>
        <v>-0.0211814556737673</v>
      </c>
      <c r="J48" s="12" t="n">
        <f aca="false">AVERAGE('월별증감률(전월비)'!I48,'월별증감률(전월비)'!U48,'월별증감률(전월비)'!AG48,'월별증감률(전월비)'!AS48,'월별증감률(전월비)'!BE48)</f>
        <v>-0.0502851484541448</v>
      </c>
      <c r="K48" s="12" t="n">
        <f aca="false">AVERAGE('월별증감률(전월비)'!J48,'월별증감률(전월비)'!V48,'월별증감률(전월비)'!AH48,'월별증감률(전월비)'!AT48,'월별증감률(전월비)'!BF48)</f>
        <v>0.0219574360369859</v>
      </c>
      <c r="L48" s="12" t="n">
        <f aca="false">AVERAGE('월별증감률(전월비)'!K48,'월별증감률(전월비)'!W48,'월별증감률(전월비)'!AI48,'월별증감률(전월비)'!AU48,'월별증감률(전월비)'!BG48)</f>
        <v>0.104185650083643</v>
      </c>
      <c r="M48" s="12" t="n">
        <f aca="false">AVERAGE('월별증감률(전월비)'!L48,'월별증감률(전월비)'!X48,'월별증감률(전월비)'!AJ48,'월별증감률(전월비)'!AV48,'월별증감률(전월비)'!BH48)</f>
        <v>-0.0147574423101124</v>
      </c>
      <c r="N48" s="12" t="n">
        <f aca="false">AVERAGE('월별증감률(전월비)'!M48,'월별증감률(전월비)'!Y48,'월별증감률(전월비)'!AK48,'월별증감률(전월비)'!AW48,'월별증감률(전월비)'!BI48)</f>
        <v>-0.0205385227700408</v>
      </c>
      <c r="O48" s="15" t="str">
        <f aca="false">INDEX($C$1:$N$1,MATCH(MAX(C48:N48),C48:N48,0))</f>
        <v>10월</v>
      </c>
      <c r="P48" s="16" t="n">
        <f aca="false">MAX(C48:N48)</f>
        <v>0.104185650083643</v>
      </c>
      <c r="Q48" s="17" t="str">
        <f aca="false">INDEX($C$1:$N$1,MATCH(MIN(C48:N48),C48:N48,0))</f>
        <v>3월</v>
      </c>
      <c r="R48" s="18" t="n">
        <f aca="false">MIN(C48:N48)</f>
        <v>-0.0735507811073358</v>
      </c>
    </row>
    <row r="49" customFormat="false" ht="15" hidden="false" customHeight="false" outlineLevel="0" collapsed="false">
      <c r="A49" s="8" t="s">
        <v>135</v>
      </c>
      <c r="B49" s="9" t="s">
        <v>142</v>
      </c>
      <c r="C49" s="12" t="n">
        <f aca="false">AVERAGE('월별증감률(전월비)'!N49,'월별증감률(전월비)'!Z49,'월별증감률(전월비)'!AL49,'월별증감률(전월비)'!AX49,'월별증감률(전월비)'!BJ49)</f>
        <v>-0.012002703110147</v>
      </c>
      <c r="D49" s="12" t="n">
        <f aca="false">AVERAGE('월별증감률(전월비)'!C49,'월별증감률(전월비)'!O49,'월별증감률(전월비)'!AA49,'월별증감률(전월비)'!AM49,'월별증감률(전월비)'!AY49,'월별증감률(전월비)'!BK49)</f>
        <v>0.0231344569413713</v>
      </c>
      <c r="E49" s="12" t="n">
        <f aca="false">AVERAGE('월별증감률(전월비)'!D49,'월별증감률(전월비)'!P49,'월별증감률(전월비)'!AB49,'월별증감률(전월비)'!AN49,'월별증감률(전월비)'!AZ49,'월별증감률(전월비)'!BL49)</f>
        <v>-0.0192510872364277</v>
      </c>
      <c r="F49" s="12" t="n">
        <f aca="false">AVERAGE('월별증감률(전월비)'!E49,'월별증감률(전월비)'!Q49,'월별증감률(전월비)'!AC49,'월별증감률(전월비)'!AO49,'월별증감률(전월비)'!BA49,'월별증감률(전월비)'!BM49)</f>
        <v>-0.115089745262453</v>
      </c>
      <c r="G49" s="12" t="n">
        <f aca="false">AVERAGE('월별증감률(전월비)'!F49,'월별증감률(전월비)'!R49,'월별증감률(전월비)'!AD49,'월별증감률(전월비)'!AP49,'월별증감률(전월비)'!BB49,'월별증감률(전월비)'!BN49)</f>
        <v>0.0880196823033717</v>
      </c>
      <c r="H49" s="12" t="n">
        <f aca="false">AVERAGE('월별증감률(전월비)'!G49,'월별증감률(전월비)'!S49,'월별증감률(전월비)'!AE49,'월별증감률(전월비)'!AQ49,'월별증감률(전월비)'!BC49)</f>
        <v>0.128534618576289</v>
      </c>
      <c r="I49" s="12" t="n">
        <f aca="false">AVERAGE('월별증감률(전월비)'!H49,'월별증감률(전월비)'!T49,'월별증감률(전월비)'!AF49,'월별증감률(전월비)'!AR49,'월별증감률(전월비)'!BD49)</f>
        <v>0.0191897703212793</v>
      </c>
      <c r="J49" s="12" t="n">
        <f aca="false">AVERAGE('월별증감률(전월비)'!I49,'월별증감률(전월비)'!U49,'월별증감률(전월비)'!AG49,'월별증감률(전월비)'!AS49,'월별증감률(전월비)'!BE49)</f>
        <v>-0.039919072565643</v>
      </c>
      <c r="K49" s="12" t="n">
        <f aca="false">AVERAGE('월별증감률(전월비)'!J49,'월별증감률(전월비)'!V49,'월별증감률(전월비)'!AH49,'월별증감률(전월비)'!AT49,'월별증감률(전월비)'!BF49)</f>
        <v>-0.142094816201456</v>
      </c>
      <c r="L49" s="12" t="n">
        <f aca="false">AVERAGE('월별증감률(전월비)'!K49,'월별증감률(전월비)'!W49,'월별증감률(전월비)'!AI49,'월별증감률(전월비)'!AU49,'월별증감률(전월비)'!BG49)</f>
        <v>-0.00327399916807214</v>
      </c>
      <c r="M49" s="12" t="n">
        <f aca="false">AVERAGE('월별증감률(전월비)'!L49,'월별증감률(전월비)'!X49,'월별증감률(전월비)'!AJ49,'월별증감률(전월비)'!AV49,'월별증감률(전월비)'!BH49)</f>
        <v>0.184864570015227</v>
      </c>
      <c r="N49" s="12" t="n">
        <f aca="false">AVERAGE('월별증감률(전월비)'!M49,'월별증감률(전월비)'!Y49,'월별증감률(전월비)'!AK49,'월별증감률(전월비)'!AW49,'월별증감률(전월비)'!BI49)</f>
        <v>0.0715552602999042</v>
      </c>
      <c r="O49" s="15" t="str">
        <f aca="false">INDEX($C$1:$N$1,MATCH(MAX(C49:N49),C49:N49,0))</f>
        <v>11월</v>
      </c>
      <c r="P49" s="16" t="n">
        <f aca="false">MAX(C49:N49)</f>
        <v>0.184864570015227</v>
      </c>
      <c r="Q49" s="17" t="str">
        <f aca="false">INDEX($C$1:$N$1,MATCH(MIN(C49:N49),C49:N49,0))</f>
        <v>9월</v>
      </c>
      <c r="R49" s="18" t="n">
        <f aca="false">MIN(C49:N49)</f>
        <v>-0.142094816201456</v>
      </c>
    </row>
    <row r="50" customFormat="false" ht="15" hidden="false" customHeight="false" outlineLevel="0" collapsed="false">
      <c r="A50" s="8" t="s">
        <v>135</v>
      </c>
      <c r="B50" s="9" t="s">
        <v>143</v>
      </c>
      <c r="C50" s="12" t="n">
        <f aca="false">AVERAGE('월별증감률(전월비)'!N50,'월별증감률(전월비)'!Z50,'월별증감률(전월비)'!AL50,'월별증감률(전월비)'!AX50,'월별증감률(전월비)'!BJ50)</f>
        <v>0.0175007537894617</v>
      </c>
      <c r="D50" s="12" t="n">
        <f aca="false">AVERAGE('월별증감률(전월비)'!C50,'월별증감률(전월비)'!O50,'월별증감률(전월비)'!AA50,'월별증감률(전월비)'!AM50,'월별증감률(전월비)'!AY50,'월별증감률(전월비)'!BK50)</f>
        <v>0.00939308583640736</v>
      </c>
      <c r="E50" s="12" t="n">
        <f aca="false">AVERAGE('월별증감률(전월비)'!D50,'월별증감률(전월비)'!P50,'월별증감률(전월비)'!AB50,'월별증감률(전월비)'!AN50,'월별증감률(전월비)'!AZ50,'월별증감률(전월비)'!BL50)</f>
        <v>0.103612062749745</v>
      </c>
      <c r="F50" s="12" t="n">
        <f aca="false">AVERAGE('월별증감률(전월비)'!E50,'월별증감률(전월비)'!Q50,'월별증감률(전월비)'!AC50,'월별증감률(전월비)'!AO50,'월별증감률(전월비)'!BA50,'월별증감률(전월비)'!BM50)</f>
        <v>0.115546063980539</v>
      </c>
      <c r="G50" s="12" t="n">
        <f aca="false">AVERAGE('월별증감률(전월비)'!F50,'월별증감률(전월비)'!R50,'월별증감률(전월비)'!AD50,'월별증감률(전월비)'!AP50,'월별증감률(전월비)'!BB50,'월별증감률(전월비)'!BN50)</f>
        <v>0.030460129990884</v>
      </c>
      <c r="H50" s="12" t="n">
        <f aca="false">AVERAGE('월별증감률(전월비)'!G50,'월별증감률(전월비)'!S50,'월별증감률(전월비)'!AE50,'월별증감률(전월비)'!AQ50,'월별증감률(전월비)'!BC50)</f>
        <v>-0.108993831548745</v>
      </c>
      <c r="I50" s="12" t="n">
        <f aca="false">AVERAGE('월별증감률(전월비)'!H50,'월별증감률(전월비)'!T50,'월별증감률(전월비)'!AF50,'월별증감률(전월비)'!AR50,'월별증감률(전월비)'!BD50)</f>
        <v>-0.107382943710203</v>
      </c>
      <c r="J50" s="12" t="n">
        <f aca="false">AVERAGE('월별증감률(전월비)'!I50,'월별증감률(전월비)'!U50,'월별증감률(전월비)'!AG50,'월별증감률(전월비)'!AS50,'월별증감률(전월비)'!BE50)</f>
        <v>-0.0531872173059574</v>
      </c>
      <c r="K50" s="12" t="n">
        <f aca="false">AVERAGE('월별증감률(전월비)'!J50,'월별증감률(전월비)'!V50,'월별증감률(전월비)'!AH50,'월별증감률(전월비)'!AT50,'월별증감률(전월비)'!BF50)</f>
        <v>-0.031943818901565</v>
      </c>
      <c r="L50" s="12" t="n">
        <f aca="false">AVERAGE('월별증감률(전월비)'!K50,'월별증감률(전월비)'!W50,'월별증감률(전월비)'!AI50,'월별증감률(전월비)'!AU50,'월별증감률(전월비)'!BG50)</f>
        <v>0.0218370835827133</v>
      </c>
      <c r="M50" s="12" t="n">
        <f aca="false">AVERAGE('월별증감률(전월비)'!L50,'월별증감률(전월비)'!X50,'월별증감률(전월비)'!AJ50,'월별증감률(전월비)'!AV50,'월별증감률(전월비)'!BH50)</f>
        <v>0.0743662362483426</v>
      </c>
      <c r="N50" s="12" t="n">
        <f aca="false">AVERAGE('월별증감률(전월비)'!M50,'월별증감률(전월비)'!Y50,'월별증감률(전월비)'!AK50,'월별증감률(전월비)'!AW50,'월별증감률(전월비)'!BI50)</f>
        <v>0.0993658479113748</v>
      </c>
      <c r="O50" s="15" t="str">
        <f aca="false">INDEX($C$1:$N$1,MATCH(MAX(C50:N50),C50:N50,0))</f>
        <v>4월</v>
      </c>
      <c r="P50" s="16" t="n">
        <f aca="false">MAX(C50:N50)</f>
        <v>0.115546063980539</v>
      </c>
      <c r="Q50" s="17" t="str">
        <f aca="false">INDEX($C$1:$N$1,MATCH(MIN(C50:N50),C50:N50,0))</f>
        <v>6월</v>
      </c>
      <c r="R50" s="18" t="n">
        <f aca="false">MIN(C50:N50)</f>
        <v>-0.108993831548745</v>
      </c>
    </row>
    <row r="51" customFormat="false" ht="15" hidden="false" customHeight="false" outlineLevel="0" collapsed="false">
      <c r="A51" s="8" t="s">
        <v>135</v>
      </c>
      <c r="B51" s="9" t="s">
        <v>144</v>
      </c>
      <c r="C51" s="12" t="n">
        <f aca="false">AVERAGE('월별증감률(전월비)'!N51,'월별증감률(전월비)'!Z51,'월별증감률(전월비)'!AL51,'월별증감률(전월비)'!AX51,'월별증감률(전월비)'!BJ51)</f>
        <v>0.171724599789251</v>
      </c>
      <c r="D51" s="12" t="n">
        <f aca="false">AVERAGE('월별증감률(전월비)'!C51,'월별증감률(전월비)'!O51,'월별증감률(전월비)'!AA51,'월별증감률(전월비)'!AM51,'월별증감률(전월비)'!AY51,'월별증감률(전월비)'!BK51)</f>
        <v>0.113909579177487</v>
      </c>
      <c r="E51" s="12" t="n">
        <f aca="false">AVERAGE('월별증감률(전월비)'!D51,'월별증감률(전월비)'!P51,'월별증감률(전월비)'!AB51,'월별증감률(전월비)'!AN51,'월별증감률(전월비)'!AZ51,'월별증감률(전월비)'!BL51)</f>
        <v>0.0798710739703532</v>
      </c>
      <c r="F51" s="12" t="n">
        <f aca="false">AVERAGE('월별증감률(전월비)'!E51,'월별증감률(전월비)'!Q51,'월별증감률(전월비)'!AC51,'월별증감률(전월비)'!AO51,'월별증감률(전월비)'!BA51,'월별증감률(전월비)'!BM51)</f>
        <v>-0.0793226302411093</v>
      </c>
      <c r="G51" s="12" t="n">
        <f aca="false">AVERAGE('월별증감률(전월비)'!F51,'월별증감률(전월비)'!R51,'월별증감률(전월비)'!AD51,'월별증감률(전월비)'!AP51,'월별증감률(전월비)'!BB51,'월별증감률(전월비)'!BN51)</f>
        <v>-0.0316645420923843</v>
      </c>
      <c r="H51" s="12" t="n">
        <f aca="false">AVERAGE('월별증감률(전월비)'!G51,'월별증감률(전월비)'!S51,'월별증감률(전월비)'!AE51,'월별증감률(전월비)'!AQ51,'월별증감률(전월비)'!BC51)</f>
        <v>-0.0978270707740359</v>
      </c>
      <c r="I51" s="12" t="n">
        <f aca="false">AVERAGE('월별증감률(전월비)'!H51,'월별증감률(전월비)'!T51,'월별증감률(전월비)'!AF51,'월별증감률(전월비)'!AR51,'월별증감률(전월비)'!BD51)</f>
        <v>-0.0615857872227333</v>
      </c>
      <c r="J51" s="12" t="n">
        <f aca="false">AVERAGE('월별증감률(전월비)'!I51,'월별증감률(전월비)'!U51,'월별증감률(전월비)'!AG51,'월별증감률(전월비)'!AS51,'월별증감률(전월비)'!BE51)</f>
        <v>-0.358138015503302</v>
      </c>
      <c r="K51" s="12" t="n">
        <f aca="false">AVERAGE('월별증감률(전월비)'!J51,'월별증감률(전월비)'!V51,'월별증감률(전월비)'!AH51,'월별증감률(전월비)'!AT51,'월별증감률(전월비)'!BF51)</f>
        <v>0.0775785942073245</v>
      </c>
      <c r="L51" s="12" t="n">
        <f aca="false">AVERAGE('월별증감률(전월비)'!K51,'월별증감률(전월비)'!W51,'월별증감률(전월비)'!AI51,'월별증감률(전월비)'!AU51,'월별증감률(전월비)'!BG51)</f>
        <v>0.11024362400882</v>
      </c>
      <c r="M51" s="12" t="n">
        <f aca="false">AVERAGE('월별증감률(전월비)'!L51,'월별증감률(전월비)'!X51,'월별증감률(전월비)'!AJ51,'월별증감률(전월비)'!AV51,'월별증감률(전월비)'!BH51)</f>
        <v>0.117430442319327</v>
      </c>
      <c r="N51" s="12" t="n">
        <f aca="false">AVERAGE('월별증감률(전월비)'!M51,'월별증감률(전월비)'!Y51,'월별증감률(전월비)'!AK51,'월별증감률(전월비)'!AW51,'월별증감률(전월비)'!BI51)</f>
        <v>0.104789789527701</v>
      </c>
      <c r="O51" s="15" t="str">
        <f aca="false">INDEX($C$1:$N$1,MATCH(MAX(C51:N51),C51:N51,0))</f>
        <v>1월</v>
      </c>
      <c r="P51" s="16" t="n">
        <f aca="false">MAX(C51:N51)</f>
        <v>0.171724599789251</v>
      </c>
      <c r="Q51" s="17" t="str">
        <f aca="false">INDEX($C$1:$N$1,MATCH(MIN(C51:N51),C51:N51,0))</f>
        <v>8월</v>
      </c>
      <c r="R51" s="18" t="n">
        <f aca="false">MIN(C51:N51)</f>
        <v>-0.358138015503302</v>
      </c>
    </row>
    <row r="52" customFormat="false" ht="15" hidden="false" customHeight="false" outlineLevel="0" collapsed="false">
      <c r="A52" s="8" t="s">
        <v>135</v>
      </c>
      <c r="B52" s="9" t="s">
        <v>145</v>
      </c>
      <c r="C52" s="12" t="n">
        <f aca="false">AVERAGE('월별증감률(전월비)'!N52,'월별증감률(전월비)'!Z52,'월별증감률(전월비)'!AL52,'월별증감률(전월비)'!AX52,'월별증감률(전월비)'!BJ52)</f>
        <v>-0.0131230172405228</v>
      </c>
      <c r="D52" s="12" t="n">
        <f aca="false">AVERAGE('월별증감률(전월비)'!C52,'월별증감률(전월비)'!O52,'월별증감률(전월비)'!AA52,'월별증감률(전월비)'!AM52,'월별증감률(전월비)'!AY52,'월별증감률(전월비)'!BK52)</f>
        <v>0.0346759584316738</v>
      </c>
      <c r="E52" s="12" t="n">
        <f aca="false">AVERAGE('월별증감률(전월비)'!D52,'월별증감률(전월비)'!P52,'월별증감률(전월비)'!AB52,'월별증감률(전월비)'!AN52,'월별증감률(전월비)'!AZ52,'월별증감률(전월비)'!BL52)</f>
        <v>-0.0757912103803122</v>
      </c>
      <c r="F52" s="12" t="n">
        <f aca="false">AVERAGE('월별증감률(전월비)'!E52,'월별증감률(전월비)'!Q52,'월별증감률(전월비)'!AC52,'월별증감률(전월비)'!AO52,'월별증감률(전월비)'!BA52,'월별증감률(전월비)'!BM52)</f>
        <v>-0.0518357669863858</v>
      </c>
      <c r="G52" s="12" t="n">
        <f aca="false">AVERAGE('월별증감률(전월비)'!F52,'월별증감률(전월비)'!R52,'월별증감률(전월비)'!AD52,'월별증감률(전월비)'!AP52,'월별증감률(전월비)'!BB52,'월별증감률(전월비)'!BN52)</f>
        <v>0.141611412612516</v>
      </c>
      <c r="H52" s="12" t="n">
        <f aca="false">AVERAGE('월별증감률(전월비)'!G52,'월별증감률(전월비)'!S52,'월별증감률(전월비)'!AE52,'월별증감률(전월비)'!AQ52,'월별증감률(전월비)'!BC52)</f>
        <v>-0.035647976301182</v>
      </c>
      <c r="I52" s="12" t="n">
        <f aca="false">AVERAGE('월별증감률(전월비)'!H52,'월별증감률(전월비)'!T52,'월별증감률(전월비)'!AF52,'월별증감률(전월비)'!AR52,'월별증감률(전월비)'!BD52)</f>
        <v>-0.0503032484879566</v>
      </c>
      <c r="J52" s="12" t="n">
        <f aca="false">AVERAGE('월별증감률(전월비)'!I52,'월별증감률(전월비)'!U52,'월별증감률(전월비)'!AG52,'월별증감률(전월비)'!AS52,'월별증감률(전월비)'!BE52)</f>
        <v>-0.0714522966993146</v>
      </c>
      <c r="K52" s="12" t="n">
        <f aca="false">AVERAGE('월별증감률(전월비)'!J52,'월별증감률(전월비)'!V52,'월별증감률(전월비)'!AH52,'월별증감률(전월비)'!AT52,'월별증감률(전월비)'!BF52)</f>
        <v>0.0468983146578203</v>
      </c>
      <c r="L52" s="12" t="n">
        <f aca="false">AVERAGE('월별증감률(전월비)'!K52,'월별증감률(전월비)'!W52,'월별증감률(전월비)'!AI52,'월별증감률(전월비)'!AU52,'월별증감률(전월비)'!BG52)</f>
        <v>0.0867787554669719</v>
      </c>
      <c r="M52" s="12" t="n">
        <f aca="false">AVERAGE('월별증감률(전월비)'!L52,'월별증감률(전월비)'!X52,'월별증감률(전월비)'!AJ52,'월별증감률(전월비)'!AV52,'월별증감률(전월비)'!BH52)</f>
        <v>0.0394579916389846</v>
      </c>
      <c r="N52" s="12" t="n">
        <f aca="false">AVERAGE('월별증감률(전월비)'!M52,'월별증감률(전월비)'!Y52,'월별증감률(전월비)'!AK52,'월별증감률(전월비)'!AW52,'월별증감률(전월비)'!BI52)</f>
        <v>0.103171624300988</v>
      </c>
      <c r="O52" s="15" t="str">
        <f aca="false">INDEX($C$1:$N$1,MATCH(MAX(C52:N52),C52:N52,0))</f>
        <v>5월</v>
      </c>
      <c r="P52" s="16" t="n">
        <f aca="false">MAX(C52:N52)</f>
        <v>0.141611412612516</v>
      </c>
      <c r="Q52" s="17" t="str">
        <f aca="false">INDEX($C$1:$N$1,MATCH(MIN(C52:N52),C52:N52,0))</f>
        <v>3월</v>
      </c>
      <c r="R52" s="18" t="n">
        <f aca="false">MIN(C52:N52)</f>
        <v>-0.0757912103803122</v>
      </c>
    </row>
    <row r="53" customFormat="false" ht="15" hidden="false" customHeight="false" outlineLevel="0" collapsed="false">
      <c r="A53" s="8" t="s">
        <v>146</v>
      </c>
      <c r="B53" s="9" t="s">
        <v>147</v>
      </c>
      <c r="C53" s="12" t="n">
        <f aca="false">AVERAGE('월별증감률(전월비)'!N53,'월별증감률(전월비)'!Z53,'월별증감률(전월비)'!AL53,'월별증감률(전월비)'!AX53,'월별증감률(전월비)'!BJ53)</f>
        <v>-0.132557059023398</v>
      </c>
      <c r="D53" s="12" t="n">
        <f aca="false">AVERAGE('월별증감률(전월비)'!C53,'월별증감률(전월비)'!O53,'월별증감률(전월비)'!AA53,'월별증감률(전월비)'!AM53,'월별증감률(전월비)'!AY53,'월별증감률(전월비)'!BK53)</f>
        <v>-0.0903442025959821</v>
      </c>
      <c r="E53" s="12" t="n">
        <f aca="false">AVERAGE('월별증감률(전월비)'!D53,'월별증감률(전월비)'!P53,'월별증감률(전월비)'!AB53,'월별증감률(전월비)'!AN53,'월별증감률(전월비)'!AZ53,'월별증감률(전월비)'!BL53)</f>
        <v>-0.0600102456429248</v>
      </c>
      <c r="F53" s="12" t="n">
        <f aca="false">AVERAGE('월별증감률(전월비)'!E53,'월별증감률(전월비)'!Q53,'월별증감률(전월비)'!AC53,'월별증감률(전월비)'!AO53,'월별증감률(전월비)'!BA53,'월별증감률(전월비)'!BM53)</f>
        <v>-0.0311039410538721</v>
      </c>
      <c r="G53" s="12" t="n">
        <f aca="false">AVERAGE('월별증감률(전월비)'!F53,'월별증감률(전월비)'!R53,'월별증감률(전월비)'!AD53,'월별증감률(전월비)'!AP53,'월별증감률(전월비)'!BB53,'월별증감률(전월비)'!BN53)</f>
        <v>0</v>
      </c>
      <c r="H53" s="12" t="n">
        <f aca="false">AVERAGE('월별증감률(전월비)'!G53,'월별증감률(전월비)'!S53,'월별증감률(전월비)'!AE53,'월별증감률(전월비)'!AQ53,'월별증감률(전월비)'!BC53)</f>
        <v>0</v>
      </c>
      <c r="I53" s="12" t="n">
        <f aca="false">AVERAGE('월별증감률(전월비)'!H53,'월별증감률(전월비)'!T53,'월별증감률(전월비)'!AF53,'월별증감률(전월비)'!AR53,'월별증감률(전월비)'!BD53)</f>
        <v>0</v>
      </c>
      <c r="J53" s="12" t="n">
        <f aca="false">AVERAGE('월별증감률(전월비)'!I53,'월별증감률(전월비)'!U53,'월별증감률(전월비)'!AG53,'월별증감률(전월비)'!AS53,'월별증감률(전월비)'!BE53)</f>
        <v>0</v>
      </c>
      <c r="K53" s="12" t="n">
        <f aca="false">AVERAGE('월별증감률(전월비)'!J53,'월별증감률(전월비)'!V53,'월별증감률(전월비)'!AH53,'월별증감률(전월비)'!AT53,'월별증감률(전월비)'!BF53)</f>
        <v>0</v>
      </c>
      <c r="L53" s="12" t="n">
        <f aca="false">AVERAGE('월별증감률(전월비)'!K53,'월별증감률(전월비)'!W53,'월별증감률(전월비)'!AI53,'월별증감률(전월비)'!AU53,'월별증감률(전월비)'!BG53)</f>
        <v>0.180297374241716</v>
      </c>
      <c r="M53" s="12" t="n">
        <f aca="false">AVERAGE('월별증감률(전월비)'!L53,'월별증감률(전월비)'!X53,'월별증감률(전월비)'!AJ53,'월별증감률(전월비)'!AV53,'월별증감률(전월비)'!BH53)</f>
        <v>0.209095703946931</v>
      </c>
      <c r="N53" s="12" t="n">
        <f aca="false">AVERAGE('월별증감률(전월비)'!M53,'월별증감률(전월비)'!Y53,'월별증감률(전월비)'!AK53,'월별증감률(전월비)'!AW53,'월별증감률(전월비)'!BI53)</f>
        <v>0.0210787284834957</v>
      </c>
      <c r="O53" s="15" t="str">
        <f aca="false">INDEX($C$1:$N$1,MATCH(MAX(C53:N53),C53:N53,0))</f>
        <v>11월</v>
      </c>
      <c r="P53" s="16" t="n">
        <f aca="false">MAX(C53:N53)</f>
        <v>0.209095703946931</v>
      </c>
      <c r="Q53" s="17" t="str">
        <f aca="false">INDEX($C$1:$N$1,MATCH(MIN(C53:N53),C53:N53,0))</f>
        <v>1월</v>
      </c>
      <c r="R53" s="18" t="n">
        <f aca="false">MIN(C53:N53)</f>
        <v>-0.132557059023398</v>
      </c>
    </row>
    <row r="54" customFormat="false" ht="15" hidden="false" customHeight="false" outlineLevel="0" collapsed="false">
      <c r="A54" s="8" t="s">
        <v>146</v>
      </c>
      <c r="B54" s="9" t="s">
        <v>148</v>
      </c>
      <c r="C54" s="12" t="n">
        <f aca="false">AVERAGE('월별증감률(전월비)'!N54,'월별증감률(전월비)'!Z54,'월별증감률(전월비)'!AL54,'월별증감률(전월비)'!AX54,'월별증감률(전월비)'!BJ54)</f>
        <v>0.125146485032083</v>
      </c>
      <c r="D54" s="12" t="n">
        <f aca="false">AVERAGE('월별증감률(전월비)'!C54,'월별증감률(전월비)'!O54,'월별증감률(전월비)'!AA54,'월별증감률(전월비)'!AM54,'월별증감률(전월비)'!AY54,'월별증감률(전월비)'!BK54)</f>
        <v>0.0257679715757774</v>
      </c>
      <c r="E54" s="12" t="n">
        <f aca="false">AVERAGE('월별증감률(전월비)'!D54,'월별증감률(전월비)'!P54,'월별증감률(전월비)'!AB54,'월별증감률(전월비)'!AN54,'월별증감률(전월비)'!AZ54,'월별증감률(전월비)'!BL54)</f>
        <v>-0.112751554001568</v>
      </c>
      <c r="F54" s="12" t="n">
        <f aca="false">AVERAGE('월별증감률(전월비)'!E54,'월별증감률(전월비)'!Q54,'월별증감률(전월비)'!AC54,'월별증감률(전월비)'!AO54,'월별증감률(전월비)'!BA54,'월별증감률(전월비)'!BM54)</f>
        <v>0.0089859693825128</v>
      </c>
      <c r="G54" s="12" t="n">
        <f aca="false">AVERAGE('월별증감률(전월비)'!F54,'월별증감률(전월비)'!R54,'월별증감률(전월비)'!AD54,'월별증감률(전월비)'!AP54,'월별증감률(전월비)'!BB54,'월별증감률(전월비)'!BN54)</f>
        <v>-0.10497072304132</v>
      </c>
      <c r="H54" s="12" t="n">
        <f aca="false">AVERAGE('월별증감률(전월비)'!G54,'월별증감률(전월비)'!S54,'월별증감률(전월비)'!AE54,'월별증감률(전월비)'!AQ54,'월별증감률(전월비)'!BC54)</f>
        <v>-0.0729178127596423</v>
      </c>
      <c r="I54" s="12" t="n">
        <f aca="false">AVERAGE('월별증감률(전월비)'!H54,'월별증감률(전월비)'!T54,'월별증감률(전월비)'!AF54,'월별증감률(전월비)'!AR54,'월별증감률(전월비)'!BD54)</f>
        <v>0.0136738088650366</v>
      </c>
      <c r="J54" s="12" t="n">
        <f aca="false">AVERAGE('월별증감률(전월비)'!I54,'월별증감률(전월비)'!U54,'월별증감률(전월비)'!AG54,'월별증감률(전월비)'!AS54,'월별증감률(전월비)'!BE54)</f>
        <v>0.214380624397878</v>
      </c>
      <c r="K54" s="12" t="n">
        <f aca="false">AVERAGE('월별증감률(전월비)'!J54,'월별증감률(전월비)'!V54,'월별증감률(전월비)'!AH54,'월별증감률(전월비)'!AT54,'월별증감률(전월비)'!BF54)</f>
        <v>0.0566806078634834</v>
      </c>
      <c r="L54" s="12" t="n">
        <f aca="false">AVERAGE('월별증감률(전월비)'!K54,'월별증감률(전월비)'!W54,'월별증감률(전월비)'!AI54,'월별증감률(전월비)'!AU54,'월별증감률(전월비)'!BG54)</f>
        <v>0.135139872352053</v>
      </c>
      <c r="M54" s="12" t="n">
        <f aca="false">AVERAGE('월별증감률(전월비)'!L54,'월별증감률(전월비)'!X54,'월별증감률(전월비)'!AJ54,'월별증감률(전월비)'!AV54,'월별증감률(전월비)'!BH54)</f>
        <v>-0.0947350217132841</v>
      </c>
      <c r="N54" s="12" t="n">
        <f aca="false">AVERAGE('월별증감률(전월비)'!M54,'월별증감률(전월비)'!Y54,'월별증감률(전월비)'!AK54,'월별증감률(전월비)'!AW54,'월별증감률(전월비)'!BI54)</f>
        <v>0.00480157851904095</v>
      </c>
      <c r="O54" s="15" t="str">
        <f aca="false">INDEX($C$1:$N$1,MATCH(MAX(C54:N54),C54:N54,0))</f>
        <v>8월</v>
      </c>
      <c r="P54" s="16" t="n">
        <f aca="false">MAX(C54:N54)</f>
        <v>0.214380624397878</v>
      </c>
      <c r="Q54" s="17" t="str">
        <f aca="false">INDEX($C$1:$N$1,MATCH(MIN(C54:N54),C54:N54,0))</f>
        <v>3월</v>
      </c>
      <c r="R54" s="18" t="n">
        <f aca="false">MIN(C54:N54)</f>
        <v>-0.112751554001568</v>
      </c>
    </row>
    <row r="55" customFormat="false" ht="15" hidden="false" customHeight="false" outlineLevel="0" collapsed="false">
      <c r="A55" s="8" t="s">
        <v>146</v>
      </c>
      <c r="B55" s="9" t="s">
        <v>149</v>
      </c>
      <c r="C55" s="12" t="n">
        <f aca="false">AVERAGE('월별증감률(전월비)'!N55,'월별증감률(전월비)'!Z55,'월별증감률(전월비)'!AL55,'월별증감률(전월비)'!AX55,'월별증감률(전월비)'!BJ55)</f>
        <v>-0.000428897467838674</v>
      </c>
      <c r="D55" s="12" t="n">
        <f aca="false">AVERAGE('월별증감률(전월비)'!C55,'월별증감률(전월비)'!O55,'월별증감률(전월비)'!AA55,'월별증감률(전월비)'!AM55,'월별증감률(전월비)'!AY55,'월별증감률(전월비)'!BK55)</f>
        <v>-0.00289983271473239</v>
      </c>
      <c r="E55" s="12" t="n">
        <f aca="false">AVERAGE('월별증감률(전월비)'!D55,'월별증감률(전월비)'!P55,'월별증감률(전월비)'!AB55,'월별증감률(전월비)'!AN55,'월별증감률(전월비)'!AZ55,'월별증감률(전월비)'!BL55)</f>
        <v>-0.0125286819711724</v>
      </c>
      <c r="F55" s="12" t="n">
        <f aca="false">AVERAGE('월별증감률(전월비)'!E55,'월별증감률(전월비)'!Q55,'월별증감률(전월비)'!AC55,'월별증감률(전월비)'!AO55,'월별증감률(전월비)'!BA55,'월별증감률(전월비)'!BM55)</f>
        <v>-0.0306991323529327</v>
      </c>
      <c r="G55" s="12" t="n">
        <f aca="false">AVERAGE('월별증감률(전월비)'!F55,'월별증감률(전월비)'!R55,'월별증감률(전월비)'!AD55,'월별증감률(전월비)'!AP55,'월별증감률(전월비)'!BB55,'월별증감률(전월비)'!BN55)</f>
        <v>-0.0159704891042079</v>
      </c>
      <c r="H55" s="12" t="n">
        <f aca="false">AVERAGE('월별증감률(전월비)'!G55,'월별증감률(전월비)'!S55,'월별증감률(전월비)'!AE55,'월별증감률(전월비)'!AQ55,'월별증감률(전월비)'!BC55)</f>
        <v>0.00135071247339043</v>
      </c>
      <c r="I55" s="12" t="n">
        <f aca="false">AVERAGE('월별증감률(전월비)'!H55,'월별증감률(전월비)'!T55,'월별증감률(전월비)'!AF55,'월별증감률(전월비)'!AR55,'월별증감률(전월비)'!BD55)</f>
        <v>-0.0223792270585612</v>
      </c>
      <c r="J55" s="12" t="n">
        <f aca="false">AVERAGE('월별증감률(전월비)'!I55,'월별증감률(전월비)'!U55,'월별증감률(전월비)'!AG55,'월별증감률(전월비)'!AS55,'월별증감률(전월비)'!BE55)</f>
        <v>-0.0207379352759558</v>
      </c>
      <c r="K55" s="12" t="n">
        <f aca="false">AVERAGE('월별증감률(전월비)'!J55,'월별증감률(전월비)'!V55,'월별증감률(전월비)'!AH55,'월별증감률(전월비)'!AT55,'월별증감률(전월비)'!BF55)</f>
        <v>0.0111691561844521</v>
      </c>
      <c r="L55" s="12" t="n">
        <f aca="false">AVERAGE('월별증감률(전월비)'!K55,'월별증감률(전월비)'!W55,'월별증감률(전월비)'!AI55,'월별증감률(전월비)'!AU55,'월별증감률(전월비)'!BG55)</f>
        <v>0.00788255259907384</v>
      </c>
      <c r="M55" s="12" t="n">
        <f aca="false">AVERAGE('월별증감률(전월비)'!L55,'월별증감률(전월비)'!X55,'월별증감률(전월비)'!AJ55,'월별증감률(전월비)'!AV55,'월별증감률(전월비)'!BH55)</f>
        <v>0.00930823502966427</v>
      </c>
      <c r="N55" s="12" t="n">
        <f aca="false">AVERAGE('월별증감률(전월비)'!M55,'월별증감률(전월비)'!Y55,'월별증감률(전월비)'!AK55,'월별증감률(전월비)'!AW55,'월별증감률(전월비)'!BI55)</f>
        <v>0.00275951097817753</v>
      </c>
      <c r="O55" s="15" t="str">
        <f aca="false">INDEX($C$1:$N$1,MATCH(MAX(C55:N55),C55:N55,0))</f>
        <v>9월</v>
      </c>
      <c r="P55" s="16" t="n">
        <f aca="false">MAX(C55:N55)</f>
        <v>0.0111691561844521</v>
      </c>
      <c r="Q55" s="17" t="str">
        <f aca="false">INDEX($C$1:$N$1,MATCH(MIN(C55:N55),C55:N55,0))</f>
        <v>4월</v>
      </c>
      <c r="R55" s="18" t="n">
        <f aca="false">MIN(C55:N55)</f>
        <v>-0.0306991323529327</v>
      </c>
    </row>
    <row r="56" customFormat="false" ht="15" hidden="false" customHeight="false" outlineLevel="0" collapsed="false">
      <c r="A56" s="8" t="s">
        <v>146</v>
      </c>
      <c r="B56" s="9" t="s">
        <v>150</v>
      </c>
      <c r="C56" s="12" t="n">
        <f aca="false">AVERAGE('월별증감률(전월비)'!N56,'월별증감률(전월비)'!Z56,'월별증감률(전월비)'!AL56,'월별증감률(전월비)'!AX56,'월별증감률(전월비)'!BJ56)</f>
        <v>-0.000682689520156266</v>
      </c>
      <c r="D56" s="12" t="n">
        <f aca="false">AVERAGE('월별증감률(전월비)'!C56,'월별증감률(전월비)'!O56,'월별증감률(전월비)'!AA56,'월별증감률(전월비)'!AM56,'월별증감률(전월비)'!AY56,'월별증감률(전월비)'!BK56)</f>
        <v>0.0688137743301099</v>
      </c>
      <c r="E56" s="12" t="n">
        <f aca="false">AVERAGE('월별증감률(전월비)'!D56,'월별증감률(전월비)'!P56,'월별증감률(전월비)'!AB56,'월별증감률(전월비)'!AN56,'월별증감률(전월비)'!AZ56,'월별증감률(전월비)'!BL56)</f>
        <v>0.0691522452111369</v>
      </c>
      <c r="F56" s="12" t="n">
        <f aca="false">AVERAGE('월별증감률(전월비)'!E56,'월별증감률(전월비)'!Q56,'월별증감률(전월비)'!AC56,'월별증감률(전월비)'!AO56,'월별증감률(전월비)'!BA56,'월별증감률(전월비)'!BM56)</f>
        <v>0.0193868817741623</v>
      </c>
      <c r="G56" s="12" t="n">
        <f aca="false">AVERAGE('월별증감률(전월비)'!F56,'월별증감률(전월비)'!R56,'월별증감률(전월비)'!AD56,'월별증감률(전월비)'!AP56,'월별증감률(전월비)'!BB56,'월별증감률(전월비)'!BN56)</f>
        <v>-0.00474913463952535</v>
      </c>
      <c r="H56" s="12" t="n">
        <f aca="false">AVERAGE('월별증감률(전월비)'!G56,'월별증감률(전월비)'!S56,'월별증감률(전월비)'!AE56,'월별증감률(전월비)'!AQ56,'월별증감률(전월비)'!BC56)</f>
        <v>-0.0754880710786542</v>
      </c>
      <c r="I56" s="12" t="n">
        <f aca="false">AVERAGE('월별증감률(전월비)'!H56,'월별증감률(전월비)'!T56,'월별증감률(전월비)'!AF56,'월별증감률(전월비)'!AR56,'월별증감률(전월비)'!BD56)</f>
        <v>-0.0810089380854325</v>
      </c>
      <c r="J56" s="12" t="n">
        <f aca="false">AVERAGE('월별증감률(전월비)'!I56,'월별증감률(전월비)'!U56,'월별증감률(전월비)'!AG56,'월별증감률(전월비)'!AS56,'월별증감률(전월비)'!BE56)</f>
        <v>-0.0629222256840619</v>
      </c>
      <c r="K56" s="12" t="n">
        <f aca="false">AVERAGE('월별증감률(전월비)'!J56,'월별증감률(전월비)'!V56,'월별증감률(전월비)'!AH56,'월별증감률(전월비)'!AT56,'월별증감률(전월비)'!BF56)</f>
        <v>0.00427625676573189</v>
      </c>
      <c r="L56" s="12" t="n">
        <f aca="false">AVERAGE('월별증감률(전월비)'!K56,'월별증감률(전월비)'!W56,'월별증감률(전월비)'!AI56,'월별증감률(전월비)'!AU56,'월별증감률(전월비)'!BG56)</f>
        <v>0.0738947483071297</v>
      </c>
      <c r="M56" s="12" t="n">
        <f aca="false">AVERAGE('월별증감률(전월비)'!L56,'월별증감률(전월비)'!X56,'월별증감률(전월비)'!AJ56,'월별증감률(전월비)'!AV56,'월별증감률(전월비)'!BH56)</f>
        <v>0.03962180423629</v>
      </c>
      <c r="N56" s="12" t="n">
        <f aca="false">AVERAGE('월별증감률(전월비)'!M56,'월별증감률(전월비)'!Y56,'월별증감률(전월비)'!AK56,'월별증감률(전월비)'!AW56,'월별증감률(전월비)'!BI56)</f>
        <v>0.0808248171419118</v>
      </c>
      <c r="O56" s="15" t="str">
        <f aca="false">INDEX($C$1:$N$1,MATCH(MAX(C56:N56),C56:N56,0))</f>
        <v>12월</v>
      </c>
      <c r="P56" s="16" t="n">
        <f aca="false">MAX(C56:N56)</f>
        <v>0.0808248171419118</v>
      </c>
      <c r="Q56" s="17" t="str">
        <f aca="false">INDEX($C$1:$N$1,MATCH(MIN(C56:N56),C56:N56,0))</f>
        <v>7월</v>
      </c>
      <c r="R56" s="18" t="n">
        <f aca="false">MIN(C56:N56)</f>
        <v>-0.0810089380854325</v>
      </c>
    </row>
    <row r="57" customFormat="false" ht="15" hidden="false" customHeight="false" outlineLevel="0" collapsed="false">
      <c r="A57" s="8" t="s">
        <v>146</v>
      </c>
      <c r="B57" s="9" t="s">
        <v>151</v>
      </c>
      <c r="C57" s="12" t="n">
        <f aca="false">AVERAGE('월별증감률(전월비)'!N57,'월별증감률(전월비)'!Z57,'월별증감률(전월비)'!AL57,'월별증감률(전월비)'!AX57,'월별증감률(전월비)'!BJ57)</f>
        <v>0.000765315140876721</v>
      </c>
      <c r="D57" s="12" t="n">
        <f aca="false">AVERAGE('월별증감률(전월비)'!C57,'월별증감률(전월비)'!O57,'월별증감률(전월비)'!AA57,'월별증감률(전월비)'!AM57,'월별증감률(전월비)'!AY57,'월별증감률(전월비)'!BK57)</f>
        <v>0.0106844314761164</v>
      </c>
      <c r="E57" s="12" t="n">
        <f aca="false">AVERAGE('월별증감률(전월비)'!D57,'월별증감률(전월비)'!P57,'월별증감률(전월비)'!AB57,'월별증감률(전월비)'!AN57,'월별증감률(전월비)'!AZ57,'월별증감률(전월비)'!BL57)</f>
        <v>-0.00274400159696927</v>
      </c>
      <c r="F57" s="12" t="n">
        <f aca="false">AVERAGE('월별증감률(전월비)'!E57,'월별증감률(전월비)'!Q57,'월별증감률(전월비)'!AC57,'월별증감률(전월비)'!AO57,'월별증감률(전월비)'!BA57,'월별증감률(전월비)'!BM57)</f>
        <v>0.00431623834458539</v>
      </c>
      <c r="G57" s="12" t="n">
        <f aca="false">AVERAGE('월별증감률(전월비)'!F57,'월별증감률(전월비)'!R57,'월별증감률(전월비)'!AD57,'월별증감률(전월비)'!AP57,'월별증감률(전월비)'!BB57,'월별증감률(전월비)'!BN57)</f>
        <v>0.0159977836815652</v>
      </c>
      <c r="H57" s="12" t="n">
        <f aca="false">AVERAGE('월별증감률(전월비)'!G57,'월별증감률(전월비)'!S57,'월별증감률(전월비)'!AE57,'월별증감률(전월비)'!AQ57,'월별증감률(전월비)'!BC57)</f>
        <v>0.00346129222577343</v>
      </c>
      <c r="I57" s="12" t="n">
        <f aca="false">AVERAGE('월별증감률(전월비)'!H57,'월별증감률(전월비)'!T57,'월별증감률(전월비)'!AF57,'월별증감률(전월비)'!AR57,'월별증감률(전월비)'!BD57)</f>
        <v>-0.0320158446445367</v>
      </c>
      <c r="J57" s="12" t="n">
        <f aca="false">AVERAGE('월별증감률(전월비)'!I57,'월별증감률(전월비)'!U57,'월별증감률(전월비)'!AG57,'월별증감률(전월비)'!AS57,'월별증감률(전월비)'!BE57)</f>
        <v>-0.011517868394017</v>
      </c>
      <c r="K57" s="12" t="n">
        <f aca="false">AVERAGE('월별증감률(전월비)'!J57,'월별증감률(전월비)'!V57,'월별증감률(전월비)'!AH57,'월별증감률(전월비)'!AT57,'월별증감률(전월비)'!BF57)</f>
        <v>-0.00420704342372673</v>
      </c>
      <c r="L57" s="12" t="n">
        <f aca="false">AVERAGE('월별증감률(전월비)'!K57,'월별증감률(전월비)'!W57,'월별증감률(전월비)'!AI57,'월별증감률(전월비)'!AU57,'월별증감률(전월비)'!BG57)</f>
        <v>-0.0150166439094191</v>
      </c>
      <c r="M57" s="12" t="n">
        <f aca="false">AVERAGE('월별증감률(전월비)'!L57,'월별증감률(전월비)'!X57,'월별증감률(전월비)'!AJ57,'월별증감률(전월비)'!AV57,'월별증감률(전월비)'!BH57)</f>
        <v>0.0077372868357046</v>
      </c>
      <c r="N57" s="12" t="n">
        <f aca="false">AVERAGE('월별증감률(전월비)'!M57,'월별증감률(전월비)'!Y57,'월별증감률(전월비)'!AK57,'월별증감률(전월비)'!AW57,'월별증감률(전월비)'!BI57)</f>
        <v>0.0253306633713177</v>
      </c>
      <c r="O57" s="15" t="str">
        <f aca="false">INDEX($C$1:$N$1,MATCH(MAX(C57:N57),C57:N57,0))</f>
        <v>12월</v>
      </c>
      <c r="P57" s="16" t="n">
        <f aca="false">MAX(C57:N57)</f>
        <v>0.0253306633713177</v>
      </c>
      <c r="Q57" s="17" t="str">
        <f aca="false">INDEX($C$1:$N$1,MATCH(MIN(C57:N57),C57:N57,0))</f>
        <v>7월</v>
      </c>
      <c r="R57" s="18" t="n">
        <f aca="false">MIN(C57:N57)</f>
        <v>-0.0320158446445367</v>
      </c>
    </row>
    <row r="58" customFormat="false" ht="15" hidden="false" customHeight="false" outlineLevel="0" collapsed="false">
      <c r="A58" s="8" t="s">
        <v>146</v>
      </c>
      <c r="B58" s="9" t="s">
        <v>152</v>
      </c>
      <c r="C58" s="12" t="n">
        <f aca="false">AVERAGE('월별증감률(전월비)'!N58,'월별증감률(전월비)'!Z58,'월별증감률(전월비)'!AL58,'월별증감률(전월비)'!AX58,'월별증감률(전월비)'!BJ58)</f>
        <v>-0.0344572424380597</v>
      </c>
      <c r="D58" s="12" t="n">
        <f aca="false">AVERAGE('월별증감률(전월비)'!C58,'월별증감률(전월비)'!O58,'월별증감률(전월비)'!AA58,'월별증감률(전월비)'!AM58,'월별증감률(전월비)'!AY58,'월별증감률(전월비)'!BK58)</f>
        <v>0.0125300498393007</v>
      </c>
      <c r="E58" s="12" t="n">
        <f aca="false">AVERAGE('월별증감률(전월비)'!D58,'월별증감률(전월비)'!P58,'월별증감률(전월비)'!AB58,'월별증감률(전월비)'!AN58,'월별증감률(전월비)'!AZ58,'월별증감률(전월비)'!BL58)</f>
        <v>0.0223089374590199</v>
      </c>
      <c r="F58" s="12" t="n">
        <f aca="false">AVERAGE('월별증감률(전월비)'!E58,'월별증감률(전월비)'!Q58,'월별증감률(전월비)'!AC58,'월별증감률(전월비)'!AO58,'월별증감률(전월비)'!BA58,'월별증감률(전월비)'!BM58)</f>
        <v>0.00536185769279533</v>
      </c>
      <c r="G58" s="12" t="n">
        <f aca="false">AVERAGE('월별증감률(전월비)'!F58,'월별증감률(전월비)'!R58,'월별증감률(전월비)'!AD58,'월별증감률(전월비)'!AP58,'월별증감률(전월비)'!BB58,'월별증감률(전월비)'!BN58)</f>
        <v>0.00613971955001395</v>
      </c>
      <c r="H58" s="12" t="n">
        <f aca="false">AVERAGE('월별증감률(전월비)'!G58,'월별증감률(전월비)'!S58,'월별증감률(전월비)'!AE58,'월별증감률(전월비)'!AQ58,'월별증감률(전월비)'!BC58)</f>
        <v>-0.0013557256216135</v>
      </c>
      <c r="I58" s="12" t="n">
        <f aca="false">AVERAGE('월별증감률(전월비)'!H58,'월별증감률(전월비)'!T58,'월별증감률(전월비)'!AF58,'월별증감률(전월비)'!AR58,'월별증감률(전월비)'!BD58)</f>
        <v>-0.0194781246868958</v>
      </c>
      <c r="J58" s="12" t="n">
        <f aca="false">AVERAGE('월별증감률(전월비)'!I58,'월별증감률(전월비)'!U58,'월별증감률(전월비)'!AG58,'월별증감률(전월비)'!AS58,'월별증감률(전월비)'!BE58)</f>
        <v>7.42993089271726E-005</v>
      </c>
      <c r="K58" s="12" t="n">
        <f aca="false">AVERAGE('월별증감률(전월비)'!J58,'월별증감률(전월비)'!V58,'월별증감률(전월비)'!AH58,'월별증감률(전월비)'!AT58,'월별증감률(전월비)'!BF58)</f>
        <v>-0.0330356045542883</v>
      </c>
      <c r="L58" s="12" t="n">
        <f aca="false">AVERAGE('월별증감률(전월비)'!K58,'월별증감률(전월비)'!W58,'월별증감률(전월비)'!AI58,'월별증감률(전월비)'!AU58,'월별증감률(전월비)'!BG58)</f>
        <v>-0.0016572910516951</v>
      </c>
      <c r="M58" s="12" t="n">
        <f aca="false">AVERAGE('월별증감률(전월비)'!L58,'월별증감률(전월비)'!X58,'월별증감률(전월비)'!AJ58,'월별증감률(전월비)'!AV58,'월별증감률(전월비)'!BH58)</f>
        <v>0.0396598805560358</v>
      </c>
      <c r="N58" s="12" t="n">
        <f aca="false">AVERAGE('월별증감률(전월비)'!M58,'월별증감률(전월비)'!Y58,'월별증감률(전월비)'!AK58,'월별증감률(전월비)'!AW58,'월별증감률(전월비)'!BI58)</f>
        <v>0.0101724466629653</v>
      </c>
      <c r="O58" s="15" t="str">
        <f aca="false">INDEX($C$1:$N$1,MATCH(MAX(C58:N58),C58:N58,0))</f>
        <v>11월</v>
      </c>
      <c r="P58" s="16" t="n">
        <f aca="false">MAX(C58:N58)</f>
        <v>0.0396598805560358</v>
      </c>
      <c r="Q58" s="17" t="str">
        <f aca="false">INDEX($C$1:$N$1,MATCH(MIN(C58:N58),C58:N58,0))</f>
        <v>1월</v>
      </c>
      <c r="R58" s="18" t="n">
        <f aca="false">MIN(C58:N58)</f>
        <v>-0.0344572424380597</v>
      </c>
    </row>
    <row r="59" customFormat="false" ht="15" hidden="false" customHeight="false" outlineLevel="0" collapsed="false">
      <c r="A59" s="8" t="s">
        <v>146</v>
      </c>
      <c r="B59" s="9" t="s">
        <v>153</v>
      </c>
      <c r="C59" s="12" t="n">
        <f aca="false">AVERAGE('월별증감률(전월비)'!N59,'월별증감률(전월비)'!Z59,'월별증감률(전월비)'!AL59,'월별증감률(전월비)'!AX59,'월별증감률(전월비)'!BJ59)</f>
        <v>0.00713330885378256</v>
      </c>
      <c r="D59" s="12" t="n">
        <f aca="false">AVERAGE('월별증감률(전월비)'!C59,'월별증감률(전월비)'!O59,'월별증감률(전월비)'!AA59,'월별증감률(전월비)'!AM59,'월별증감률(전월비)'!AY59,'월별증감률(전월비)'!BK59)</f>
        <v>-0.0129444494493303</v>
      </c>
      <c r="E59" s="12" t="n">
        <f aca="false">AVERAGE('월별증감률(전월비)'!D59,'월별증감률(전월비)'!P59,'월별증감률(전월비)'!AB59,'월별증감률(전월비)'!AN59,'월별증감률(전월비)'!AZ59,'월별증감률(전월비)'!BL59)</f>
        <v>-0.00135021544197807</v>
      </c>
      <c r="F59" s="12" t="n">
        <f aca="false">AVERAGE('월별증감률(전월비)'!E59,'월별증감률(전월비)'!Q59,'월별증감률(전월비)'!AC59,'월별증감률(전월비)'!AO59,'월별증감률(전월비)'!BA59,'월별증감률(전월비)'!BM59)</f>
        <v>0.0190561616802435</v>
      </c>
      <c r="G59" s="12" t="n">
        <f aca="false">AVERAGE('월별증감률(전월비)'!F59,'월별증감률(전월비)'!R59,'월별증감률(전월비)'!AD59,'월별증감률(전월비)'!AP59,'월별증감률(전월비)'!BB59,'월별증감률(전월비)'!BN59)</f>
        <v>0.0176819422128376</v>
      </c>
      <c r="H59" s="12" t="n">
        <f aca="false">AVERAGE('월별증감률(전월비)'!G59,'월별증감률(전월비)'!S59,'월별증감률(전월비)'!AE59,'월별증감률(전월비)'!AQ59,'월별증감률(전월비)'!BC59)</f>
        <v>0.00601418037428003</v>
      </c>
      <c r="I59" s="12" t="n">
        <f aca="false">AVERAGE('월별증감률(전월비)'!H59,'월별증감률(전월비)'!T59,'월별증감률(전월비)'!AF59,'월별증감률(전월비)'!AR59,'월별증감률(전월비)'!BD59)</f>
        <v>0.00177674177866745</v>
      </c>
      <c r="J59" s="12" t="n">
        <f aca="false">AVERAGE('월별증감률(전월비)'!I59,'월별증감률(전월비)'!U59,'월별증감률(전월비)'!AG59,'월별증감률(전월비)'!AS59,'월별증감률(전월비)'!BE59)</f>
        <v>-0.0152824454016939</v>
      </c>
      <c r="K59" s="12" t="n">
        <f aca="false">AVERAGE('월별증감률(전월비)'!J59,'월별증감률(전월비)'!V59,'월별증감률(전월비)'!AH59,'월별증감률(전월비)'!AT59,'월별증감률(전월비)'!BF59)</f>
        <v>-0.0124149174314148</v>
      </c>
      <c r="L59" s="12" t="n">
        <f aca="false">AVERAGE('월별증감률(전월비)'!K59,'월별증감률(전월비)'!W59,'월별증감률(전월비)'!AI59,'월별증감률(전월비)'!AU59,'월별증감률(전월비)'!BG59)</f>
        <v>-0.0270288708585222</v>
      </c>
      <c r="M59" s="12" t="n">
        <f aca="false">AVERAGE('월별증감률(전월비)'!L59,'월별증감률(전월비)'!X59,'월별증감률(전월비)'!AJ59,'월별증감률(전월비)'!AV59,'월별증감률(전월비)'!BH59)</f>
        <v>0.00381373243654015</v>
      </c>
      <c r="N59" s="12" t="n">
        <f aca="false">AVERAGE('월별증감률(전월비)'!M59,'월별증감률(전월비)'!Y59,'월별증감률(전월비)'!AK59,'월별증감률(전월비)'!AW59,'월별증감률(전월비)'!BI59)</f>
        <v>0.00599323830536227</v>
      </c>
      <c r="O59" s="15" t="str">
        <f aca="false">INDEX($C$1:$N$1,MATCH(MAX(C59:N59),C59:N59,0))</f>
        <v>4월</v>
      </c>
      <c r="P59" s="16" t="n">
        <f aca="false">MAX(C59:N59)</f>
        <v>0.0190561616802435</v>
      </c>
      <c r="Q59" s="17" t="str">
        <f aca="false">INDEX($C$1:$N$1,MATCH(MIN(C59:N59),C59:N59,0))</f>
        <v>10월</v>
      </c>
      <c r="R59" s="18" t="n">
        <f aca="false">MIN(C59:N59)</f>
        <v>-0.0270288708585222</v>
      </c>
    </row>
    <row r="60" customFormat="false" ht="15" hidden="false" customHeight="false" outlineLevel="0" collapsed="false">
      <c r="A60" s="8" t="s">
        <v>146</v>
      </c>
      <c r="B60" s="9" t="s">
        <v>154</v>
      </c>
      <c r="C60" s="12" t="n">
        <f aca="false">AVERAGE('월별증감률(전월비)'!N60,'월별증감률(전월비)'!Z60,'월별증감률(전월비)'!AL60,'월별증감률(전월비)'!AX60,'월별증감률(전월비)'!BJ60)</f>
        <v>-0.0015557609252927</v>
      </c>
      <c r="D60" s="12" t="n">
        <f aca="false">AVERAGE('월별증감률(전월비)'!C60,'월별증감률(전월비)'!O60,'월별증감률(전월비)'!AA60,'월별증감률(전월비)'!AM60,'월별증감률(전월비)'!AY60,'월별증감률(전월비)'!BK60)</f>
        <v>0.00296808491048584</v>
      </c>
      <c r="E60" s="12" t="n">
        <f aca="false">AVERAGE('월별증감률(전월비)'!D60,'월별증감률(전월비)'!P60,'월별증감률(전월비)'!AB60,'월별증감률(전월비)'!AN60,'월별증감률(전월비)'!AZ60,'월별증감률(전월비)'!BL60)</f>
        <v>0.00611028495923553</v>
      </c>
      <c r="F60" s="12" t="n">
        <f aca="false">AVERAGE('월별증감률(전월비)'!E60,'월별증감률(전월비)'!Q60,'월별증감률(전월비)'!AC60,'월별증감률(전월비)'!AO60,'월별증감률(전월비)'!BA60,'월별증감률(전월비)'!BM60)</f>
        <v>0.00804785065753041</v>
      </c>
      <c r="G60" s="12" t="n">
        <f aca="false">AVERAGE('월별증감률(전월비)'!F60,'월별증감률(전월비)'!R60,'월별증감률(전월비)'!AD60,'월별증감률(전월비)'!AP60,'월별증감률(전월비)'!BB60,'월별증감률(전월비)'!BN60)</f>
        <v>0.00920753708616523</v>
      </c>
      <c r="H60" s="12" t="n">
        <f aca="false">AVERAGE('월별증감률(전월비)'!G60,'월별증감률(전월비)'!S60,'월별증감률(전월비)'!AE60,'월별증감률(전월비)'!AQ60,'월별증감률(전월비)'!BC60)</f>
        <v>0.00230239805403165</v>
      </c>
      <c r="I60" s="12" t="n">
        <f aca="false">AVERAGE('월별증감률(전월비)'!H60,'월별증감률(전월비)'!T60,'월별증감률(전월비)'!AF60,'월별증감률(전월비)'!AR60,'월별증감률(전월비)'!BD60)</f>
        <v>-0.00668967829249236</v>
      </c>
      <c r="J60" s="12" t="n">
        <f aca="false">AVERAGE('월별증감률(전월비)'!I60,'월별증감률(전월비)'!U60,'월별증감률(전월비)'!AG60,'월별증감률(전월비)'!AS60,'월별증감률(전월비)'!BE60)</f>
        <v>0.00671795406630185</v>
      </c>
      <c r="K60" s="12" t="n">
        <f aca="false">AVERAGE('월별증감률(전월비)'!J60,'월별증감률(전월비)'!V60,'월별증감률(전월비)'!AH60,'월별증감률(전월비)'!AT60,'월별증감률(전월비)'!BF60)</f>
        <v>0.00740626103218181</v>
      </c>
      <c r="L60" s="12" t="n">
        <f aca="false">AVERAGE('월별증감률(전월비)'!K60,'월별증감률(전월비)'!W60,'월별증감률(전월비)'!AI60,'월별증감률(전월비)'!AU60,'월별증감률(전월비)'!BG60)</f>
        <v>0.00434212820882456</v>
      </c>
      <c r="M60" s="12" t="n">
        <f aca="false">AVERAGE('월별증감률(전월비)'!L60,'월별증감률(전월비)'!X60,'월별증감률(전월비)'!AJ60,'월별증감률(전월비)'!AV60,'월별증감률(전월비)'!BH60)</f>
        <v>0.00191167915287704</v>
      </c>
      <c r="N60" s="12" t="n">
        <f aca="false">AVERAGE('월별증감률(전월비)'!M60,'월별증감률(전월비)'!Y60,'월별증감률(전월비)'!AK60,'월별증감률(전월비)'!AW60,'월별증감률(전월비)'!BI60)</f>
        <v>0.00344098074768588</v>
      </c>
      <c r="O60" s="15" t="str">
        <f aca="false">INDEX($C$1:$N$1,MATCH(MAX(C60:N60),C60:N60,0))</f>
        <v>5월</v>
      </c>
      <c r="P60" s="16" t="n">
        <f aca="false">MAX(C60:N60)</f>
        <v>0.00920753708616523</v>
      </c>
      <c r="Q60" s="17" t="str">
        <f aca="false">INDEX($C$1:$N$1,MATCH(MIN(C60:N60),C60:N60,0))</f>
        <v>7월</v>
      </c>
      <c r="R60" s="18" t="n">
        <f aca="false">MIN(C60:N60)</f>
        <v>-0.00668967829249236</v>
      </c>
    </row>
    <row r="61" customFormat="false" ht="15" hidden="false" customHeight="false" outlineLevel="0" collapsed="false">
      <c r="A61" s="8" t="s">
        <v>146</v>
      </c>
      <c r="B61" s="9" t="s">
        <v>155</v>
      </c>
      <c r="C61" s="12" t="n">
        <f aca="false">AVERAGE('월별증감률(전월비)'!N61,'월별증감률(전월비)'!Z61,'월별증감률(전월비)'!AL61,'월별증감률(전월비)'!AX61,'월별증감률(전월비)'!BJ61)</f>
        <v>0.000826948300100572</v>
      </c>
      <c r="D61" s="12" t="n">
        <f aca="false">AVERAGE('월별증감률(전월비)'!C61,'월별증감률(전월비)'!O61,'월별증감률(전월비)'!AA61,'월별증감률(전월비)'!AM61,'월별증감률(전월비)'!AY61,'월별증감률(전월비)'!BK61)</f>
        <v>0.00209613700058179</v>
      </c>
      <c r="E61" s="12" t="n">
        <f aca="false">AVERAGE('월별증감률(전월비)'!D61,'월별증감률(전월비)'!P61,'월별증감률(전월비)'!AB61,'월별증감률(전월비)'!AN61,'월별증감률(전월비)'!AZ61,'월별증감률(전월비)'!BL61)</f>
        <v>-0.00449402343152785</v>
      </c>
      <c r="F61" s="12" t="n">
        <f aca="false">AVERAGE('월별증감률(전월비)'!E61,'월별증감률(전월비)'!Q61,'월별증감률(전월비)'!AC61,'월별증감률(전월비)'!AO61,'월별증감률(전월비)'!BA61,'월별증감률(전월비)'!BM61)</f>
        <v>-0.00844343113512713</v>
      </c>
      <c r="G61" s="12" t="n">
        <f aca="false">AVERAGE('월별증감률(전월비)'!F61,'월별증감률(전월비)'!R61,'월별증감률(전월비)'!AD61,'월별증감률(전월비)'!AP61,'월별증감률(전월비)'!BB61,'월별증감률(전월비)'!BN61)</f>
        <v>-0.00810182009794221</v>
      </c>
      <c r="H61" s="12" t="n">
        <f aca="false">AVERAGE('월별증감률(전월비)'!G61,'월별증감률(전월비)'!S61,'월별증감률(전월비)'!AE61,'월별증감률(전월비)'!AQ61,'월별증감률(전월비)'!BC61)</f>
        <v>0.00904676231620138</v>
      </c>
      <c r="I61" s="12" t="n">
        <f aca="false">AVERAGE('월별증감률(전월비)'!H61,'월별증감률(전월비)'!T61,'월별증감률(전월비)'!AF61,'월별증감률(전월비)'!AR61,'월별증감률(전월비)'!BD61)</f>
        <v>-0.00920015960290277</v>
      </c>
      <c r="J61" s="12" t="n">
        <f aca="false">AVERAGE('월별증감률(전월비)'!I61,'월별증감률(전월비)'!U61,'월별증감률(전월비)'!AG61,'월별증감률(전월비)'!AS61,'월별증감률(전월비)'!BE61)</f>
        <v>-0.0137465367766366</v>
      </c>
      <c r="K61" s="12" t="n">
        <f aca="false">AVERAGE('월별증감률(전월비)'!J61,'월별증감률(전월비)'!V61,'월별증감률(전월비)'!AH61,'월별증감률(전월비)'!AT61,'월별증감률(전월비)'!BF61)</f>
        <v>0.00831795340919224</v>
      </c>
      <c r="L61" s="12" t="n">
        <f aca="false">AVERAGE('월별증감률(전월비)'!K61,'월별증감률(전월비)'!W61,'월별증감률(전월비)'!AI61,'월별증감률(전월비)'!AU61,'월별증감률(전월비)'!BG61)</f>
        <v>0.00549334159094619</v>
      </c>
      <c r="M61" s="12" t="n">
        <f aca="false">AVERAGE('월별증감률(전월비)'!L61,'월별증감률(전월비)'!X61,'월별증감률(전월비)'!AJ61,'월별증감률(전월비)'!AV61,'월별증감률(전월비)'!BH61)</f>
        <v>0.0240974061176788</v>
      </c>
      <c r="N61" s="12" t="n">
        <f aca="false">AVERAGE('월별증감률(전월비)'!M61,'월별증감률(전월비)'!Y61,'월별증감률(전월비)'!AK61,'월별증감률(전월비)'!AW61,'월별증감률(전월비)'!BI61)</f>
        <v>-0.00316490309098612</v>
      </c>
      <c r="O61" s="15" t="str">
        <f aca="false">INDEX($C$1:$N$1,MATCH(MAX(C61:N61),C61:N61,0))</f>
        <v>11월</v>
      </c>
      <c r="P61" s="16" t="n">
        <f aca="false">MAX(C61:N61)</f>
        <v>0.0240974061176788</v>
      </c>
      <c r="Q61" s="17" t="str">
        <f aca="false">INDEX($C$1:$N$1,MATCH(MIN(C61:N61),C61:N61,0))</f>
        <v>8월</v>
      </c>
      <c r="R61" s="18" t="n">
        <f aca="false">MIN(C61:N61)</f>
        <v>-0.0137465367766366</v>
      </c>
    </row>
    <row r="62" customFormat="false" ht="15" hidden="false" customHeight="false" outlineLevel="0" collapsed="false">
      <c r="A62" s="8" t="s">
        <v>146</v>
      </c>
      <c r="B62" s="9" t="s">
        <v>156</v>
      </c>
      <c r="C62" s="12" t="n">
        <f aca="false">AVERAGE('월별증감률(전월비)'!N62,'월별증감률(전월비)'!Z62,'월별증감률(전월비)'!AL62,'월별증감률(전월비)'!AX62,'월별증감률(전월비)'!BJ62)</f>
        <v>0.0203020345663586</v>
      </c>
      <c r="D62" s="12" t="n">
        <f aca="false">AVERAGE('월별증감률(전월비)'!C62,'월별증감률(전월비)'!O62,'월별증감률(전월비)'!AA62,'월별증감률(전월비)'!AM62,'월별증감률(전월비)'!AY62,'월별증감률(전월비)'!BK62)</f>
        <v>0.00285249683861002</v>
      </c>
      <c r="E62" s="12" t="n">
        <f aca="false">AVERAGE('월별증감률(전월비)'!D62,'월별증감률(전월비)'!P62,'월별증감률(전월비)'!AB62,'월별증감률(전월비)'!AN62,'월별증감률(전월비)'!AZ62,'월별증감률(전월비)'!BL62)</f>
        <v>0.00924305571642078</v>
      </c>
      <c r="F62" s="12" t="n">
        <f aca="false">AVERAGE('월별증감률(전월비)'!E62,'월별증감률(전월비)'!Q62,'월별증감률(전월비)'!AC62,'월별증감률(전월비)'!AO62,'월별증감률(전월비)'!BA62,'월별증감률(전월비)'!BM62)</f>
        <v>0.00713723460099025</v>
      </c>
      <c r="G62" s="12" t="n">
        <f aca="false">AVERAGE('월별증감률(전월비)'!F62,'월별증감률(전월비)'!R62,'월별증감률(전월비)'!AD62,'월별증감률(전월비)'!AP62,'월별증감률(전월비)'!BB62,'월별증감률(전월비)'!BN62)</f>
        <v>0.00709806197773929</v>
      </c>
      <c r="H62" s="12" t="n">
        <f aca="false">AVERAGE('월별증감률(전월비)'!G62,'월별증감률(전월비)'!S62,'월별증감률(전월비)'!AE62,'월별증감률(전월비)'!AQ62,'월별증감률(전월비)'!BC62)</f>
        <v>0.0027551981428829</v>
      </c>
      <c r="I62" s="12" t="n">
        <f aca="false">AVERAGE('월별증감률(전월비)'!H62,'월별증감률(전월비)'!T62,'월별증감률(전월비)'!AF62,'월별증감률(전월비)'!AR62,'월별증감률(전월비)'!BD62)</f>
        <v>0.00212463707321193</v>
      </c>
      <c r="J62" s="12" t="n">
        <f aca="false">AVERAGE('월별증감률(전월비)'!I62,'월별증감률(전월비)'!U62,'월별증감률(전월비)'!AG62,'월별증감률(전월비)'!AS62,'월별증감률(전월비)'!BE62)</f>
        <v>-0.00165267275886756</v>
      </c>
      <c r="K62" s="12" t="n">
        <f aca="false">AVERAGE('월별증감률(전월비)'!J62,'월별증감률(전월비)'!V62,'월별증감률(전월비)'!AH62,'월별증감률(전월비)'!AT62,'월별증감률(전월비)'!BF62)</f>
        <v>-2.69272532195997E-005</v>
      </c>
      <c r="L62" s="12" t="n">
        <f aca="false">AVERAGE('월별증감률(전월비)'!K62,'월별증감률(전월비)'!W62,'월별증감률(전월비)'!AI62,'월별증감률(전월비)'!AU62,'월별증감률(전월비)'!BG62)</f>
        <v>-0.00140285600673467</v>
      </c>
      <c r="M62" s="12" t="n">
        <f aca="false">AVERAGE('월별증감률(전월비)'!L62,'월별증감률(전월비)'!X62,'월별증감률(전월비)'!AJ62,'월별증감률(전월비)'!AV62,'월별증감률(전월비)'!BH62)</f>
        <v>-0.00275216851516327</v>
      </c>
      <c r="N62" s="12" t="n">
        <f aca="false">AVERAGE('월별증감률(전월비)'!M62,'월별증감률(전월비)'!Y62,'월별증감률(전월비)'!AK62,'월별증감률(전월비)'!AW62,'월별증감률(전월비)'!BI62)</f>
        <v>0.00642219690625634</v>
      </c>
      <c r="O62" s="15" t="str">
        <f aca="false">INDEX($C$1:$N$1,MATCH(MAX(C62:N62),C62:N62,0))</f>
        <v>1월</v>
      </c>
      <c r="P62" s="16" t="n">
        <f aca="false">MAX(C62:N62)</f>
        <v>0.0203020345663586</v>
      </c>
      <c r="Q62" s="17" t="str">
        <f aca="false">INDEX($C$1:$N$1,MATCH(MIN(C62:N62),C62:N62,0))</f>
        <v>11월</v>
      </c>
      <c r="R62" s="18" t="n">
        <f aca="false">MIN(C62:N62)</f>
        <v>-0.00275216851516327</v>
      </c>
    </row>
    <row r="63" customFormat="false" ht="15" hidden="false" customHeight="false" outlineLevel="0" collapsed="false">
      <c r="A63" s="8" t="s">
        <v>146</v>
      </c>
      <c r="B63" s="9" t="s">
        <v>157</v>
      </c>
      <c r="C63" s="12" t="n">
        <f aca="false">AVERAGE('월별증감률(전월비)'!N63,'월별증감률(전월비)'!Z63,'월별증감률(전월비)'!AL63,'월별증감률(전월비)'!AX63,'월별증감률(전월비)'!BJ63)</f>
        <v>0.015496096733293</v>
      </c>
      <c r="D63" s="12" t="n">
        <f aca="false">AVERAGE('월별증감률(전월비)'!C63,'월별증감률(전월비)'!O63,'월별증감률(전월비)'!AA63,'월별증감률(전월비)'!AM63,'월별증감률(전월비)'!AY63,'월별증감률(전월비)'!BK63)</f>
        <v>-0.00190905006684328</v>
      </c>
      <c r="E63" s="12" t="n">
        <f aca="false">AVERAGE('월별증감률(전월비)'!D63,'월별증감률(전월비)'!P63,'월별증감률(전월비)'!AB63,'월별증감률(전월비)'!AN63,'월별증감률(전월비)'!AZ63,'월별증감률(전월비)'!BL63)</f>
        <v>0.0444615150468493</v>
      </c>
      <c r="F63" s="12" t="n">
        <f aca="false">AVERAGE('월별증감률(전월비)'!E63,'월별증감률(전월비)'!Q63,'월별증감률(전월비)'!AC63,'월별증감률(전월비)'!AO63,'월별증감률(전월비)'!BA63,'월별증감률(전월비)'!BM63)</f>
        <v>0.0222399342482803</v>
      </c>
      <c r="G63" s="12" t="n">
        <f aca="false">AVERAGE('월별증감률(전월비)'!F63,'월별증감률(전월비)'!R63,'월별증감률(전월비)'!AD63,'월별증감률(전월비)'!AP63,'월별증감률(전월비)'!BB63,'월별증감률(전월비)'!BN63)</f>
        <v>0.00150449996681329</v>
      </c>
      <c r="H63" s="12" t="n">
        <f aca="false">AVERAGE('월별증감률(전월비)'!G63,'월별증감률(전월비)'!S63,'월별증감률(전월비)'!AE63,'월별증감률(전월비)'!AQ63,'월별증감률(전월비)'!BC63)</f>
        <v>0.00187247146383887</v>
      </c>
      <c r="I63" s="12" t="n">
        <f aca="false">AVERAGE('월별증감률(전월비)'!H63,'월별증감률(전월비)'!T63,'월별증감률(전월비)'!AF63,'월별증감률(전월비)'!AR63,'월별증감률(전월비)'!BD63)</f>
        <v>-0.00242442765007425</v>
      </c>
      <c r="J63" s="12" t="n">
        <f aca="false">AVERAGE('월별증감률(전월비)'!I63,'월별증감률(전월비)'!U63,'월별증감률(전월비)'!AG63,'월별증감률(전월비)'!AS63,'월별증감률(전월비)'!BE63)</f>
        <v>-0.000834490307854785</v>
      </c>
      <c r="K63" s="12" t="n">
        <f aca="false">AVERAGE('월별증감률(전월비)'!J63,'월별증감률(전월비)'!V63,'월별증감률(전월비)'!AH63,'월별증감률(전월비)'!AT63,'월별증감률(전월비)'!BF63)</f>
        <v>0.00555934470223933</v>
      </c>
      <c r="L63" s="12" t="n">
        <f aca="false">AVERAGE('월별증감률(전월비)'!K63,'월별증감률(전월비)'!W63,'월별증감률(전월비)'!AI63,'월별증감률(전월비)'!AU63,'월별증감률(전월비)'!BG63)</f>
        <v>0.00221186772995141</v>
      </c>
      <c r="M63" s="12" t="n">
        <f aca="false">AVERAGE('월별증감률(전월비)'!L63,'월별증감률(전월비)'!X63,'월별증감률(전월비)'!AJ63,'월별증감률(전월비)'!AV63,'월별증감률(전월비)'!BH63)</f>
        <v>0.00746353202801045</v>
      </c>
      <c r="N63" s="12" t="n">
        <f aca="false">AVERAGE('월별증감률(전월비)'!M63,'월별증감률(전월비)'!Y63,'월별증감률(전월비)'!AK63,'월별증감률(전월비)'!AW63,'월별증감률(전월비)'!BI63)</f>
        <v>0.0135004393345247</v>
      </c>
      <c r="O63" s="15" t="str">
        <f aca="false">INDEX($C$1:$N$1,MATCH(MAX(C63:N63),C63:N63,0))</f>
        <v>3월</v>
      </c>
      <c r="P63" s="16" t="n">
        <f aca="false">MAX(C63:N63)</f>
        <v>0.0444615150468493</v>
      </c>
      <c r="Q63" s="17" t="str">
        <f aca="false">INDEX($C$1:$N$1,MATCH(MIN(C63:N63),C63:N63,0))</f>
        <v>7월</v>
      </c>
      <c r="R63" s="18" t="n">
        <f aca="false">MIN(C63:N63)</f>
        <v>-0.00242442765007425</v>
      </c>
    </row>
  </sheetData>
  <conditionalFormatting sqref="C2:N63">
    <cfRule type="colorScale" priority="2">
      <colorScale>
        <cfvo type="min" val="0"/>
        <cfvo type="percentile" val="50"/>
        <cfvo type="max" val="0"/>
        <color rgb="FF4472C4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1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2026-07-16T05:47:17Z</dcterms:created>
  <dc:creator>openpyxl</dc:creator>
  <dc:description/>
  <dc:language>en-US</dc:language>
  <cp:lastModifiedBy/>
  <dcterms:modified xsi:type="dcterms:W3CDTF">2026-07-16T05:48:24Z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